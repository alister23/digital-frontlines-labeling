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Yolanda" sheetId="2" r:id="rId6"/>
    <sheet state="visible" name="Jianning" sheetId="3" r:id="rId7"/>
    <sheet state="visible" name="Hao" sheetId="4" r:id="rId8"/>
  </sheets>
  <definedNames/>
  <calcPr/>
</workbook>
</file>

<file path=xl/sharedStrings.xml><?xml version="1.0" encoding="utf-8"?>
<sst xmlns="http://schemas.openxmlformats.org/spreadsheetml/2006/main" count="1178" uniqueCount="315">
  <si>
    <t>Stance and framing tactics</t>
  </si>
  <si>
    <t>Skip any columns if not relevant</t>
  </si>
  <si>
    <t>Image traits</t>
  </si>
  <si>
    <t>Text and image framing</t>
  </si>
  <si>
    <t>Key settings</t>
  </si>
  <si>
    <t>Key actions</t>
  </si>
  <si>
    <t>Call to action/resource of image</t>
  </si>
  <si>
    <t>Identity-based symbols</t>
  </si>
  <si>
    <t>OTHER NOTES</t>
  </si>
  <si>
    <t>Altenrative POV</t>
  </si>
  <si>
    <t>Image Name</t>
  </si>
  <si>
    <t>Image URL</t>
  </si>
  <si>
    <t>Image Preview</t>
  </si>
  <si>
    <t>Caption (Original)</t>
  </si>
  <si>
    <t>Translated Caption</t>
  </si>
  <si>
    <t>Type of exclusion - if selected do not code more</t>
  </si>
  <si>
    <t>Tactics (from NLP)</t>
  </si>
  <si>
    <t>Stance</t>
  </si>
  <si>
    <t xml:space="preserve">Is the stance explicit or implicit or are you unsure? </t>
  </si>
  <si>
    <t>Text and image framing - does the text match the image or is it different than the image such that it reframes it? ie is it just an image of a tree with a very pro-Russian phrase? That's reframing</t>
  </si>
  <si>
    <t xml:space="preserve">How much context does this image have? Think about how this image COULD be easily or less easily reframed -- hint if you dont know it probably does have context ;) </t>
  </si>
  <si>
    <t>What are some tactics in this image that we have seen before and/or are common propaganda tactics? Select all that apply. This column will grow over time.</t>
  </si>
  <si>
    <t>What in or out group does this entire post feel like?</t>
  </si>
  <si>
    <t>What in or out group does this image feel like?</t>
  </si>
  <si>
    <t>What in or out group does this text caption (NOT text on image) feel like?</t>
  </si>
  <si>
    <t xml:space="preserve">Is there hostility to an out group? </t>
  </si>
  <si>
    <t xml:space="preserve">Is there solidarity to an in group? </t>
  </si>
  <si>
    <t>Image type/format - SELECT ALL THAT APPLY - ie a screenshot of a news article is BOTH screenshot, news article</t>
  </si>
  <si>
    <t>Chart type - if chart</t>
  </si>
  <si>
    <t>Map type - if map</t>
  </si>
  <si>
    <t>What type of screen pictured (for picture of screen)</t>
  </si>
  <si>
    <t>Picture of paper</t>
  </si>
  <si>
    <t>IF screenshot - Screenshot source</t>
  </si>
  <si>
    <t>Image has text</t>
  </si>
  <si>
    <t>Annotation/edits</t>
  </si>
  <si>
    <t>Logos - Remember to look up logos based on doc instructions</t>
  </si>
  <si>
    <t>Watermark on image (not clear logo)</t>
  </si>
  <si>
    <r>
      <rPr>
        <rFont val="Arial"/>
        <b/>
        <color theme="1"/>
      </rPr>
      <t xml:space="preserve">TEXT IN IMAGE 
</t>
    </r>
    <r>
      <rPr>
        <rFont val="Arial"/>
        <b/>
        <color theme="1"/>
      </rPr>
      <t xml:space="preserve">
Text and image framing - does the text match the image or is it different than the image such that it reframes it? ie is it just an image of a tree with a very pro-Russian phrase? That's reframing</t>
    </r>
  </si>
  <si>
    <t>Language of text in image</t>
  </si>
  <si>
    <t>Language of post text</t>
  </si>
  <si>
    <t>Framing and alignment with the text/caption (the post NOT text in the image)</t>
  </si>
  <si>
    <t>Describe some actions that the post caption is doing to the imagery</t>
  </si>
  <si>
    <t>Military</t>
  </si>
  <si>
    <t>Politicans</t>
  </si>
  <si>
    <t>Animals</t>
  </si>
  <si>
    <t>Vehicles</t>
  </si>
  <si>
    <t>Supplies/objects</t>
  </si>
  <si>
    <t>Air craft</t>
  </si>
  <si>
    <t>Passport</t>
  </si>
  <si>
    <t>Type of setting/image background - SKIP if not a photo or realistic image</t>
  </si>
  <si>
    <t>Conflict state</t>
  </si>
  <si>
    <t>Relief depicted</t>
  </si>
  <si>
    <t>Political/media actions</t>
  </si>
  <si>
    <t>CTA</t>
  </si>
  <si>
    <t>Resource</t>
  </si>
  <si>
    <t>Gvt logos - remember to look up logos and add to DB</t>
  </si>
  <si>
    <t>Flags</t>
  </si>
  <si>
    <t>Colors - remember to look for these in lights too -- and look up if needed!</t>
  </si>
  <si>
    <t>Known Symbols - Russian</t>
  </si>
  <si>
    <t>Known Symbols - Ukrainian</t>
  </si>
  <si>
    <t>10350_FUI_AgADjroxG65LAUk|hueviyherson.jpg</t>
  </si>
  <si>
    <t>https://drive.google.com/uc?export=view&amp;id=1JfDAvAaE1rIL4McPdY6qIwUyGyYuehhp</t>
  </si>
  <si>
    <t>Мэр Чернигова заплатил за пойманных солдат противника, как обещал.
Так что в военное время можно тоже хорошо заработать</t>
  </si>
  <si>
    <t>The mayor of Chernigov paid for the captured enemy soldiers, as promised.
So in wartime you can also make good money</t>
  </si>
  <si>
    <t>13891_FUI_AgAD4LkxGySDeEk|hueviyherson.jpg</t>
  </si>
  <si>
    <t>https://drive.google.com/uc?export=view&amp;id=1J49Gfc4bVzKuvxGkpv8zv6guWvnnY3EA</t>
  </si>
  <si>
    <t>Звідки вони до нас приїхали?
Подивились, як виглядають міста, з яких приїхали в Україну окупанти і порівняли їх із українськими містами, які хоче знищити Росія.</t>
  </si>
  <si>
    <t>Where did they come to us from?
We looked at the cities from which the invaders came to Ukraine and compared them with the Ukrainian cities that Russia wants to destroy.</t>
  </si>
  <si>
    <t>15262_FUI_AgADnbkxG5ox4Uk|hueviyherson.jpg</t>
  </si>
  <si>
    <t>https://drive.google.com/uc?export=view&amp;id=1MXEcWSpl0gmzjGsPlEMoQtvPfqe0d_jr</t>
  </si>
  <si>
    <t>Арестович о Чернобаевке</t>
  </si>
  <si>
    <t>Arestovich about Chernobaevka</t>
  </si>
  <si>
    <t>16368_FUI_AgAD1bcxG7cLYEo|hueviyherson.jpg</t>
  </si>
  <si>
    <t>https://drive.google.com/uc?export=view&amp;id=1Ojazvc8xkFii9uqOHBl6y4Vihx433y5v</t>
  </si>
  <si>
    <t>У Рубіжному орки влучили у цистерну з азотною кислотою 
‼️Терміново
▪️Не виходьте з укриттів!
▪️Якщо Ви у приміщенні - закрийте двері та вікна!
 ▪️Дія на людину: азотна кислота небезпечна при вдиханні, ковтанні та при попаданні на шкіру та слизові оболонки.
▪️Пари кислоти викликають подразнюючу дію на дихальні шляхи. 
▪️При слабких отруєннях з'являються ознаки бронхіту, легкого бронхіоліту, запаморочення, сонливість; при важких отруєннях - набряк легенів. Для захисту від парів і туману азотної кислоти користуються протигазами.
▪️Підготуйте вологі маски для обличчя
▪️При місцевій дії на очі азотна кислота викликає тяжке ураження з великим некрозом рогової оболонки та кон'юнктиви, що призводить до втрати зору.
отправляйте инфу по обстановке в регионе @hueviy_kherson_Bot подписаться 👉https://t.me/hueviyherson</t>
  </si>
  <si>
    <t>In Rubizhnye, the orcs hit a tank with nitric acid
‼️Urgent
▪️Don't leave the shelters!
▪️If you are indoors - close the doors and windows!
▪️Effect on humans: nitric acid is dangerous when inhaled, swallowed, and in contact with the skin and mucous membranes.
▪️Acid vapors cause an irritating effect on the respiratory tract.
▪️ With mild poisoning, signs of bronchitis, mild bronchiolitis, dizziness, drowsiness appear;in severe poisoning - pulmonary edema.Gas masks are used to protect against fumes and mist of nitric acid.
▪️Prepare wet face masks
▪️When applied locally to the eyes, nitric acid causes severe damage with extensive necrosis of the cornea and conjunctiva, which leads to loss of vision.
send info on the situation in the region @hueviy_kherson_Bot subscribe 👉https://t.me/hueviyherson</t>
  </si>
  <si>
    <t>19302_FUI_AgADJLgxGwTgaEg|hueviyherson.jpg</t>
  </si>
  <si>
    <t>https://drive.google.com/uc?export=view&amp;id=1yngs7LqTHvGIMbqZ4hcwG79ijEFgnPnk</t>
  </si>
  <si>
    <t>❗️Коллаборанты Херсона будут просить россию разместить там российскую военную базу
Об этом заявляет так называемый "замглавы военно-гражданской администрации" области Кирилл Стремоусов.
"В Херсонской области должна быть военная база российской федерации. Мы будем об этом просить", - говорит он.
Стремоусов заявляет, что это "жизненно необходимо", и что в этом якобы "заинтересовано все население".
прислать новость @hueviy_kherson_Bot
👉 ПОДПИСАТЬСЯ</t>
  </si>
  <si>
    <t>❗️Kherson collaborators will ask Russia to place a Russian military base there
This is stated by the so-called “deputy head of the military-civil administration” of the region, Kirill Stremousov.
“There should be a military base of the Russian Federation in the Kherson region. We will ask for it,” he says.
Stremousov states that this is “vital” and that supposedly “the entire population is interested in this.”
send news to @hueviy_kherson_Bot
👉 SUBSCRIBE</t>
  </si>
  <si>
    <t>19727_FUI_AgADLL0xG7YNsUg|hueviyherson.jpg</t>
  </si>
  <si>
    <t>https://drive.google.com/uc?export=view&amp;id=1XduVUue6rnheAMdlVSEYV0_eFu0geikY</t>
  </si>
  <si>
    <t>#Нампишут 
Улица Ушакова/Украинская серая бронемашина Z врезалась в машину, есть пострадавший, парень 1998 года рождения
UPD Парень попавший в аварию пострадал, но жив. Его увезла скорая. Надо как-то сообщить родным. Его данные Березовский Анатолий 1998 года рождения
UPD2 К сожалению парень скончался
прислать новость @hueviy_kherson_Bot
👉 ПОДПИСАТЬСЯ</t>
  </si>
  <si>
    <t>#They'll write
Ushakova Street/Ukrainian gray armored vehicle Z crashed into a car, there is a victim, a guy born in 1998
UPD The guy involved in the accident was injured, but alive.He was taken away by ambulance.We need to tell our family somehow.His details Berezovsky Anatoly born in 1998
UPD2 Unfortunately the guy died
send news to @hueviy_kherson_Bot
👉 SUBSCRIBE</t>
  </si>
  <si>
    <t>19832_FUI_AgADzrkxG59w0Eg|hueviyherson.jpg</t>
  </si>
  <si>
    <t>https://drive.google.com/uc?export=view&amp;id=1-Xm53O1x22DSK1K9TYpva2sulz1oWVOa</t>
  </si>
  <si>
    <t>Украинские бойцы уже начали курс обучения работе с HIMARS
Обучение обращению с РСЗО будет длиться три недели. Похоже, это будет последнее лето, которое увидят орки.
прислать новость @hueviy_kherson_Bot
👉 ПОДПИСАТЬСЯ</t>
  </si>
  <si>
    <t>Ukrainian fighters have already begun a training course to work with HIMARS
Training in handling MLRS will last three weeks.It looks like this will be the last summer the orcs will see.
send news to @hueviy_kherson_Bot
👉 SUBSCRIBE</t>
  </si>
  <si>
    <t>21752_FUI_AgADlb0xG45PUUo|hueviyherson.jpg</t>
  </si>
  <si>
    <t>https://drive.google.com/uc?export=view&amp;id=1AKoQ-XoHxuN3UKw5aylfpyQpV97sQmO0</t>
  </si>
  <si>
    <t>❗️Берегите себя
#Нампишут 
Вокруг школы 30 стоят блокпосты и машины не пропускают.
#Нампишут 
Всю улицу Ярослава Мудрого за горисполкомом оцепили. Очень много людей вокруг, все с оружием, много военных.
#Нампишут 
Вокруг мэрии много полиции на крымских номерах с автоматами.
#Нампишут 
За горисполкомом много полиции потому что грузили большой автобус женщин и детей но без вещей
#Нампишут
На Восточном, возле Салюта блок пост
прислать новость @hueviy_kherson_Bot
👉 ПОДПИСАТЬСЯ</t>
  </si>
  <si>
    <t>❗️Take care of yourself
#They will write
There are roadblocks around school 30 and cars are not allowed through.
#They will write
The entire street of Yaroslav the Wise behind the city executive committee was cordoned off.There are a lot of people around, all with weapons, a lot of military men.
#They will write
There are a lot of police around the city hall in Crimean license plates with machine guns.
#They will write
There are a lot of police behind the city executive committee because they were loading a large bus of women and children but without things
#They will write
On Vostochny, near Salyut, checkpoint
send news to @hueviy_kherson_Bot
👉 SUBSCRIBE</t>
  </si>
  <si>
    <t>22078_FUI_AgADu8AxG7yVeUo|hueviyherson.jpg</t>
  </si>
  <si>
    <t>https://drive.google.com/uc?export=view&amp;id=1Oza3KMMixd8mOEaWvtNzFsH-1Pr5dzqD</t>
  </si>
  <si>
    <t>Рашисты хотят на месте мемориала в честь Небесной сотни установить в Херсоне памятник императрице
Памятник Екатерине второй хотят установить в центре Херсона на площади Свободы на месте, где раньше стоял памятник ленину, а с 2014 года – памятный знак в честь героев Небесной сотни и херсонцев, погибших за Украину.
прислать новость @hueviy_kherson_Bot
👉 ПОДПИСАТЬСЯ</t>
  </si>
  <si>
    <t>Rashists want to erect a monument to the Empress in Kherson on the site of the memorial in honor of the Heavenly Hundred
They want to erect a monument to Catherine the Second in the center of Kherson on Freedom Square in the place where the monument to Lenin used to stand, and since 2014 - a memorial sign in honor of the heroes of the Heavenly Hundred and Kherson residents who died for Ukraine.
send news to @hueviy_kherson_Bot
👉 SUBSCRIBE</t>
  </si>
  <si>
    <t>25199_FUI_AgADILoxG1hrkEg|hueviyherson.jpg</t>
  </si>
  <si>
    <t>https://drive.google.com/uc?export=view&amp;id=1Tvarsnfxg3ZicRhH_EuUxr7IryjTQtan</t>
  </si>
  <si>
    <t>ВСУ уничтожили вражескую переправу в районе Новой Каховки. —спикер Одесской ОВА
Координатами ВСУ обеспечили бойцы Движения Сопротивления Юг Украинской Добровольческой Армии.
прислать новость @hueviy_kherson_Bot
👉 ПОДПИСАТЬСЯ</t>
  </si>
  <si>
    <t>The Ukrainian Armed Forces destroyed an enemy crossing in the Novaya Kakhovka area.—speaker of the Odessa OVA
The coordinates of the Ukrainian Armed Forces were provided by fighters of the Resistance Movement of the South of the Ukrainian Volunteer Army.
send news to @hueviy_kherson_Bot
👉 SUBSCRIBE</t>
  </si>
  <si>
    <t>27754_FUI_AgAD_L8xG1I0mUo|hueviyherson.jpg</t>
  </si>
  <si>
    <t>https://drive.google.com/uc?export=view&amp;id=1EHae-Ca2CBMJdJuhDkP2spQhUDSyj10i</t>
  </si>
  <si>
    <t>Нам сегодня на протяжении дня писали наши читатели по поводу странных событий в Херсоне. Также написала и украинская ХОВА.
Соболевский недавно написал о остановке лифтов в многоэтажных зданиях. Такое происходит либо при веерном отключении света, либо при отстрелах. 
После поступили новости от больниц и аптек. В медучреждениях дают приказы проверить укрытия. Фармацевты пишут о закрытии аптек с завтрашнего дня. Сообщается, что это в связи с эвакуацией. Также под эвакуацию попало предприятие "Херсон газ" и российские торговые сети.
Ну и в заключении, курс рубля в Херсоне стал нестабилен. Также сообщается, что в магазинах где ранее стояли ценники в рублях - теперь стоят в гривнах. 🇺🇦
прислать новость @hueviy_kherson_Bot
👉 ПОДПИСАТЬСЯ</t>
  </si>
  <si>
    <t>Our readers have been writing to us throughout the day about strange events in Kherson.The Ukrainian HOVA also wrote.
Sobolevsky recently wrote about stopping elevators in multi-story buildings.This happens either during rolling blackouts or during shooting.
Then news arrived from hospitals and pharmacies.Medical facilities are giving orders to check shelters.Pharmacists write about the closure of pharmacies from tomorrow.It is reported that this is due to the evacuation.The Kherson Gas enterprise and Russian retail chains were also evacuated.
Well, in conclusion, the ruble exchange rate in Kherson has become unstable.It is also reported that in stores that previously had price tags in rubles, they are now in hryvnias.🇺🇦
send news to @hueviy_kherson_Bot
👉 SUBSCRIBE</t>
  </si>
  <si>
    <t>43721_FUI_AgADacwxG3xgQEo|hueviyherson.jpg</t>
  </si>
  <si>
    <t>https://drive.google.com/uc?export=view&amp;id=1k6ocBN2POcpbbuWgsadcrC99GfnEruXp</t>
  </si>
  <si>
    <t>😳рашисти обіцяють газифікувати окуповану частину Херсонщини за 50 років
"великая россия"...
надіслати новину @hueviy_kherson_Bot
👉 ПІДПИСАТИСЯ</t>
  </si>
  <si>
    <t>😳 Rashists promise to gasify the occupied part of Kherson region in 50 years
"Great Russia"...
send news to @hueviy_kherson_Bot
👉 SUBSCRIBE</t>
  </si>
  <si>
    <t>45323_FUI_AgADUdMxG6TNsEs|hueviyherson.jpg</t>
  </si>
  <si>
    <t>https://drive.google.com/uc?export=view&amp;id=1fQ5fzHB40zNWUeTpYSybFMA2Dlrud6kE</t>
  </si>
  <si>
    <t>Рашисти на окупованих територіях намагаються створити загони "ТРО" - Гуменюк
Керівниця об'єднаного координаційного пресцентру Сил оборони півдня Наталія Гуменюк відзначила, що до лав цих "загонів територіальної оборони" залучають паспортизованих громадян окупованих регіонів.
Тих, хто вступає в ці підрозділи, переконують, що їх будуть залучати тільки на території своїх населених пунктів. Але насправді загони "ТРО" планують використовувати на фронті, адже основні підзрозділи росіян виснажені.
Надіслати новину @hueviy_kherson_Bot
👉 ПІДПИСАТИСЯ</t>
  </si>
  <si>
    <t>Racists in the occupied territories are trying to create "TRO" detachments - Humenyuk
Nataliya Gumenyuk, head of the joint coordination press center of the Southern Defense Forces, noted that passported citizens of the occupied regions are recruited into the ranks of these "territorial defense units".
Those who join these units are convinced that they will be recruited only on the territory of their settlements.But in fact, they plan to use the "TRO" units at the front, because the main units of the Russians are exhausted.
Send news to @hueviy_kherson_Bot
👉 SUBSCRIBE</t>
  </si>
  <si>
    <t>12079_FUI_AgADa8UxGymCwUs|kavun_ks.jpg</t>
  </si>
  <si>
    <t>https://drive.google.com/uc?export=view&amp;id=1PEmnXKGzEAE6R6ujZHg4395Yhnf2_hr1</t>
  </si>
  <si>
    <t>⚡️Борис Джонсон заявив, що претендує на посаду генерального секретаря НАТО
➡️ ПІДПИСАТИСЬ НА КАНАЛ
👉 Надіслати новину</t>
  </si>
  <si>
    <t>⚡️Boris Johnson announced that he is applying for the post of NATO Secretary General
➡️ SUBSCRIBE TO THE CHANNEL
👉 Send news</t>
  </si>
  <si>
    <t>1487_FUI_AgADM7sxG9wQ-Us|kavun_ks.jpg</t>
  </si>
  <si>
    <t>https://drive.google.com/uc?export=view&amp;id=1WaMnz7zHb9TT-9HdnDTWqCipzP2WUDeC</t>
  </si>
  <si>
    <t>На оккупированном берегу Каховского водохранилища заметили движение вражеской техники.
Со стороны оккупированного Энергодара и близлежащих населенных пунктов отмечено движение вражеской техники, – сообщает глава Никопольского РВА Евгений Евтушенко.
Каховський Кавун 🍉</t>
  </si>
  <si>
    <t>On the occupied shore of the Kakhovka Reservoir, the movement of enemy equipment was noticed.
The movement of enemy equipment was noted from the occupied Energodar and nearby settlements, reports the head of the Nikopol RVA Evgeniy Yevtushenko.
Kakhovsky Kavun 🍉</t>
  </si>
  <si>
    <t>15941_FUI_AgAEyzEbUBPISQ|kavun_ks.jpg</t>
  </si>
  <si>
    <t>https://drive.google.com/uc?export=view&amp;id=1G2iVRAc-wwWShkVRL0AKNU-0VV6yeL3z</t>
  </si>
  <si>
    <t>Херсонська область. Інформація щодо ворожих обстрілів за минулу добу 16 квітня.
За інформацією Херсонської ОВА, російські окупанти 46 разів обстріляли мирні населені пункти Херсонщини. Випустили 170 снарядів з важкої артилерії, безпілотників та авіації. 
Житлові квартали Херсона армія рф атакувала тричі.
За минулу добу постраждалих серед цивільного населення немає.
➡️ ПІДПИСАТИСЬ НА КАНАЛ
👉 Надіслати новину</t>
  </si>
  <si>
    <t>Kherson region.Information on enemy shelling for the past day, April 16.
According to the information of the Kherson OVA, the Russian occupiers shelled peaceful settlements in the Kherson region 46 times.170 shells were fired from heavy artillery, drones and aviation.
The Russian army attacked the residential quarters of Kherson three times.
During the past day, there were no casualties among the civilian population.
➡️ SUBSCRIBE TO THE CHANNEL
👉 Send news</t>
  </si>
  <si>
    <t>18640_FUI_AgADcMcxG12TMEs|kavun_ks.jpg</t>
  </si>
  <si>
    <t>https://drive.google.com/uc?export=view&amp;id=1zKhKTKuGvJnm9JXoxXWPPXwt4iaGy9me</t>
  </si>
  <si>
    <t>У Керчі місцеві жителі несуть квіти до меморіалу пам'яті жертв депортації кримськотатарського народу, - «Крим.Реалії»
На площі чергують російські поліцейські.
➡️ ПІДПИСАТИСЬ НА КАНАЛ
👉 Надіслати новину</t>
  </si>
  <si>
    <t>In Kerch, local residents carry flowers to the memorial to the victims of the deportation of the Crimean Tatar people, - "Krym.Realii"
Russian police officers are on duty in the square.
➡️ SUBSCRIBE TO THE CHANNEL
👉 Send news</t>
  </si>
  <si>
    <t>22682_FUI_AgAD-soxGxe_2Ug|kavun_ks.jpg</t>
  </si>
  <si>
    <t>https://drive.google.com/uc?export=view&amp;id=1T-C7az6LA7d6ilR2-8OVVge6p-QGQKNb</t>
  </si>
  <si>
    <t>⚡️ЧВК "Вагнер" передасть свою важку військову техніку до діючих підрозділів ЗС росії. Підготовка вже триває, - Міноборони рф
➡️ ПІДПИСАТИСЬ НА КАНАЛ
👉 Надіслати новину</t>
  </si>
  <si>
    <t>⚡️PMC "Wagner" will transfer its heavy military equipment to active units of the Russian Armed Forces.Preparations are already underway, - Ministry of Defense of the Russian Federation
➡️ SUBSCRIBE TO THE CHANNEL
👉 Send news</t>
  </si>
  <si>
    <t>26094_FUI_AgADlL4xG-uKgVI|kavun_ks.jpg</t>
  </si>
  <si>
    <t>https://drive.google.com/uc?export=view&amp;id=1v3yqvG3AnzAIJ-27p1yyxsCi1gPz8qHw</t>
  </si>
  <si>
    <t>TRANSLATION ERROR</t>
  </si>
  <si>
    <t>33854_FUI_AgADY9QxGwkhMUo|kavun_ks.jpg</t>
  </si>
  <si>
    <t>https://drive.google.com/uc?export=view&amp;id=1MPK78hSHQF5tKdHs_OW6gKK0os6QzK3Z</t>
  </si>
  <si>
    <t>🇺🇸США виділяють додаткову військову допомогу Україні на $425 мільйонів
Туди увійдуть:
▪️додаткові боєприпаси для NASAMS ;
▪️додаткові боєприпаси для HIMARS ;
▪️артснаряди калібру 155 мм та 105 мм;
▪️ракети TOW;
▪ Протитанкові системи Javelin та AT-4;
▪️більше 3 мільйонів патронів до стрілецької зброї та гранати;
▪️підривні боєприпаси для прибирання перешкод ;
▪ Протипіхотні боєприпаси M18A1 Claymore;
▪️12 вантажівок для перевезення важкої техніки;
▪️спорядження для холодної погоди;
▪️запчастини, технічне обслуговування та інше польове обладнання.
▪️додаткові боєприпаси з лазерним наведенням для протидії БпЛА .
➡️ ПІДПИСАТИСЬ НА КАНАЛ
👉 Надіслати новину</t>
  </si>
  <si>
    <t>🇺🇸The USA allocates additional military aid to Ukraine in the amount of $425 million
It will include:
▪️additional ammunition for NASAMS;
▪️additional ammunition for HIMARS;
▪️ Artillery shells of caliber 155 mm and 105 mm;
▪️TOW missiles;
▪ Javelin and AT-4 anti-tank systems;
▪️more than 3 million cartridges for small arms and grenades;
▪️ explosive ammunition for clearing obstacles;
▪ Anti-personnel ammunition M18A1 Claymore;
▪️12 trucks for transporting heavy equipment;
▪️equipment for cold weather;
▪️spare parts, maintenance and other field equipment.
▪️additional ammunition with laser guidance for combating UAVs.
➡️ SUBSCRIBE TO THE CHANNEL
👉 Send news</t>
  </si>
  <si>
    <t>4318_FUI_AgADZ70xG2riUUs|kavun_ks.jpg</t>
  </si>
  <si>
    <t>https://drive.google.com/uc?export=view&amp;id=1hVIQ94OMOM0cxx7ZMFtTxfRGK9KOOO72</t>
  </si>
  <si>
    <t>Оккупанты запретили учителям в Херсонской области пользоваться мессенджерами: WhatsApp, Viber и Telegram
Кавун Херсон 🍉
Прислать новость👈</t>
  </si>
  <si>
    <t>The occupiers banned teachers in the Kherson region from using instant messengers: WhatsApp, Viber and Telegram
Kavun Kherson 🍉
Send news👈</t>
  </si>
  <si>
    <t>6892_FUI_AgAD8cExG5bL-Eg|kavun_ks.jpg</t>
  </si>
  <si>
    <t>https://drive.google.com/uc?export=view&amp;id=1MF18VZ3Gg0nqxVOr847-ZKeaHwh1f96A</t>
  </si>
  <si>
    <t>Цьогоріч через постійні ворожі обстріли Херсонська міська військова адміністрація ухвалила рішення відмовитись від новорічного декору.
- Щороку наші комунальні підприємства прикрашали місто святковою ілюмінацією, встановлювали ялинку, різноманітні світлові інсталяції. Проте зараз безпекова ситуація в громаді лишається напруженою. Тому ми вирішили відмовитись від новорічного декору, аби не наражати херсонців на небезпеку. Головне, що 2023 рік Херсон зустрічатиме вільним від окупантів і з українським прапором, - зазначила очільниця Херсонської МВА Галина Лугова.
Кавун Херсон 🍉
Прислать новость👈</t>
  </si>
  <si>
    <t>This year, due to constant enemy shelling, the Kherson city military administration decided to abandon New Year's decorations.
- Every year, our utility companies decorated the city with holiday illuminations, installed a Christmas tree, and various light installations.However, the security situation in the community remains tense.That's why we decided to abandon the New Year's decoration, so as not to expose the people of Kherson to danger.The main thing is that Kherson will welcome the year 2023 free from the occupiers and with the Ukrainian flag, - noted the head of the Kherson MBA Halyna Lugova.
Watermelon Kherson 🍉
Send news 👈</t>
  </si>
  <si>
    <t>6908_FUI_AgADpcIxG5bL-Eg|kavun_ks.jpg</t>
  </si>
  <si>
    <t>https://drive.google.com/uc?export=view&amp;id=10OJ0Pn5arPbG9i0iBMLNeYEeIfQqm59t</t>
  </si>
  <si>
    <t>#нампишут Вот так орки на въезде в Каховку укрепляются, там эскаваторы роют,много досок привезли,окопи для танков.
Кавун Херсон 🍉
Прислать новость👈</t>
  </si>
  <si>
    <t>#nampishut This is how the orcs are fortifying themselves at the entrance to Kakhovka, they are digging excavators there, they brought a lot of boards, trenches for tanks.
Kavun Kherson 🍉
Send news👈</t>
  </si>
  <si>
    <t>7473_FUI_AgADQ8kxG2CRqUo|jurnko.jpg</t>
  </si>
  <si>
    <t>https://drive.google.com/uc?export=view&amp;id=1Wziz8h0r6udpZ1wfItrx7JKtrM27M27S</t>
  </si>
  <si>
    <t>Справедливости ради. 
В ходе дальнейшего расследования оказалось, что это 👉 убежище класса «эконом». 
При продолжении расследования было выявлено убежище класса «люкс». Кадры выше. 
P.s. если найдете более высокий класс, то СРОЧНО сообщите Одмену канала 
@kherson_non_fake</t>
  </si>
  <si>
    <t>To be fair.
Upon further investigation, it turned out that this was an economy class shelter.
As the investigation continued, a luxury hideout was discovered.The footage is above.
P.s.If you find a higher class, then URGENTLY inform the channel manager
@kherson_non_fake</t>
  </si>
  <si>
    <t>7593_FUI_AgADLsMxG1OKOUk|kavun_ks.jpg</t>
  </si>
  <si>
    <t>https://drive.google.com/uc?export=view&amp;id=1L0VvmY8MKQMF9gNobEM7o68_AOovAHPb</t>
  </si>
  <si>
    <t>🔥На болотах все стабільно. У Мурманську пожежа на базі постачання "Фактор".
Попередньо площа пожежі становить 50 кв.м. З місця було евакуйовано 5 газових балонів.
Нуль днів без пожеж 🔥
Кавун Херсон 🍉
Прислать новость👈</t>
  </si>
  <si>
    <t>🔥 Everything is stable in the swamps.A fire broke out at the Factor supply base in Murmansk.
Initially, the area of ​​the fire is 50 square meters.5 gas cylinders were evacuated from the site.
Zero days without fires 🔥
Watermelon Kherson 🍉
Send news 👈</t>
  </si>
  <si>
    <t>9934_FUI_AgADEcYxG7gvwUo|kavun_ks.jpg</t>
  </si>
  <si>
    <t>https://drive.google.com/uc?export=view&amp;id=1IkVYI75k3Fli1oZOgVFA_Qnh4VjbZEoG</t>
  </si>
  <si>
    <t>🐑 Кадировці овцеёби в Мелітополі зґвалтували журналістку і побили оператора російського смітника НТВ.
Тепер пропагандони намагаються висвітлити цю тему, але їм наказано закрити рота, щоб не "дискредитувати армію".
Це вже дно, чи ще ні?
Кавун Херсон 🍉
Прислать новость👈</t>
  </si>
  <si>
    <t>🐑 Kadyrovs of Ovtseyoba in Melitopol raped a journalist and beat the operator of the Russian NTV dump.
Now propagandists are trying to highlight this topic, but they are ordered to keep their mouths shut so as not to "discredit the army".
Is it the bottom or not yet?
Watermelon Kherson 🍉
Send news 👈</t>
  </si>
  <si>
    <r>
      <rPr>
        <rFont val="Arial"/>
        <b/>
        <color theme="1"/>
      </rPr>
      <t xml:space="preserve">TEXT IN IMAGE 
</t>
    </r>
    <r>
      <rPr>
        <rFont val="Arial"/>
        <b/>
        <color theme="1"/>
      </rPr>
      <t xml:space="preserve">
Text and image framing - does the text match the image or is it different than the image such that it reframes it? ie is it just an image of a tree with a very pro-Russian phrase? That's reframing</t>
    </r>
  </si>
  <si>
    <t>Pro-Ukrainian</t>
  </si>
  <si>
    <t>Explicit</t>
  </si>
  <si>
    <t>Text and image aligned</t>
  </si>
  <si>
    <t>Lots of context - hard to reframee</t>
  </si>
  <si>
    <t>"Ukrainian in group (by Ukrainians, for Ukrainians)"</t>
  </si>
  <si>
    <t>Yes - hostility to Russian outgroup</t>
  </si>
  <si>
    <t>No</t>
  </si>
  <si>
    <t>Picture of paper, """cover image"" - image for text"</t>
  </si>
  <si>
    <t>Hand Drawing</t>
  </si>
  <si>
    <t>Ukrainian</t>
  </si>
  <si>
    <t>Yes - Solidarity to Ukrainian in group</t>
  </si>
  <si>
    <t>Photograph, Collage of multiple images</t>
  </si>
  <si>
    <t>Textual annotations (text added over an image), Other editting</t>
  </si>
  <si>
    <t>Describing the image</t>
  </si>
  <si>
    <t>Outside - city (including skyline)</t>
  </si>
  <si>
    <t>Local/regional</t>
  </si>
  <si>
    <t>Humor</t>
  </si>
  <si>
    <t>Screenshot, Meme, Photograph</t>
  </si>
  <si>
    <t>Phone</t>
  </si>
  <si>
    <t>Social media - Other/Unknown</t>
  </si>
  <si>
    <t>Russian</t>
  </si>
  <si>
    <t>Textual annotations (text added over an image)</t>
  </si>
  <si>
    <t>Press/media company, Influencer/individual logo</t>
  </si>
  <si>
    <t>Other watermark</t>
  </si>
  <si>
    <t>Russian Military</t>
  </si>
  <si>
    <t>Other</t>
  </si>
  <si>
    <t>caption in image translated by Claude Sonnet 4.6: 
"Drum roll!.. Attention, stand at ease!.. For the tenth time — Chernobayevka, welcome!.. 🤣🤣🤣 At this moment, a massive movement of Russian troops through the Antonovsky Bridge is observed — they're running away!.. Apparently, we hit someone from their leadership again. Happy one month since the start of the operation, guys."
Logos including "Мемаграм / Memagram" (2022) — top left; Ukrainian meme aggregator page; and "STOP Корупції / STOP Corruption" — top right; Ukrainian anti-corruption civic media organization</t>
  </si>
  <si>
    <t>A little bit of context - harder to reframe if you know</t>
  </si>
  <si>
    <t>Destruction in general</t>
  </si>
  <si>
    <t>Text reframes image</t>
  </si>
  <si>
    <t>Implicit</t>
  </si>
  <si>
    <t>"Ukrainian in group (by Ukrainians, for Ukrainians)", "Russian out group (by Ukrainians or others, outgrouping Russians)"</t>
  </si>
  <si>
    <t>Unsure</t>
  </si>
  <si>
    <t>Photograph</t>
  </si>
  <si>
    <t>Name/Handle</t>
  </si>
  <si>
    <t>Other thing</t>
  </si>
  <si>
    <t>Text reframes/challenges image</t>
  </si>
  <si>
    <t>Reacting to the image, Clarifying the image, Describing the image</t>
  </si>
  <si>
    <t>Active conflict</t>
  </si>
  <si>
    <t>Share/forward the image</t>
  </si>
  <si>
    <t>"V, Z - war symbols"</t>
  </si>
  <si>
    <t>Z-marked armored vehicle referenced as cause of incident (Z = Russian military identifier during 2022 invasion)</t>
  </si>
  <si>
    <r>
      <rPr>
        <rFont val="Arial"/>
        <b/>
        <color theme="1"/>
      </rPr>
      <t xml:space="preserve">TEXT IN IMAGE 
</t>
    </r>
    <r>
      <rPr>
        <rFont val="Arial"/>
        <b/>
        <color theme="1"/>
      </rPr>
      <t xml:space="preserve">
Text and image framing - does the text match the image or is it different than the image such that it reframes it? ie is it just an image of a tree with a very pro-Russian phrase? That's reframing</t>
    </r>
  </si>
  <si>
    <t>No context - easy to reframe in a post</t>
  </si>
  <si>
    <t>"Russian out group (by Ukrainians or others, outgrouping Russians)"</t>
  </si>
  <si>
    <t>Picture of paper, Photograph</t>
  </si>
  <si>
    <t>Inside a building</t>
  </si>
  <si>
    <t>Source questionable</t>
  </si>
  <si>
    <t>They might be  pro Ukraine because they genuinely think it's a good way to make profit...?</t>
  </si>
  <si>
    <t>Emotion</t>
  </si>
  <si>
    <t>Destruction in general, Other thing</t>
  </si>
  <si>
    <t>Collage of multiple images, Photograph</t>
  </si>
  <si>
    <t>Other editting</t>
  </si>
  <si>
    <t>Press/media company</t>
  </si>
  <si>
    <t>Ukranian</t>
  </si>
  <si>
    <t>Describing the image, Clarifying the image, Stressing/emphasizing the image</t>
  </si>
  <si>
    <t>Destroyed building/structure, Outside - city (including skyline)</t>
  </si>
  <si>
    <t xml:space="preserve">Result of conflict </t>
  </si>
  <si>
    <t>Pro-Russia</t>
  </si>
  <si>
    <t>Yes - hostility to Ukrainian outgroup</t>
  </si>
  <si>
    <t>Screenshot, Meme</t>
  </si>
  <si>
    <t>None of these/other</t>
  </si>
  <si>
    <t>Destruction of monuments/key buildings, Destruction in general</t>
  </si>
  <si>
    <t>Unsure, "Russian out group (by Ukrainians or others, outgrouping Russians)"</t>
  </si>
  <si>
    <t>Stressing/emphasizing the image</t>
  </si>
  <si>
    <t>"Battle field/area (tanks, etc)", Sky</t>
  </si>
  <si>
    <t>Go to a place for support/resources</t>
  </si>
  <si>
    <t>Resource: telegram channel for further reports</t>
  </si>
  <si>
    <t>Victimization, Destruction in general</t>
  </si>
  <si>
    <t>Describing the image, Stressing/emphasizing the image</t>
  </si>
  <si>
    <t>Z arrmored vehnicle - Russian military. Also since the picture only shows a car crash image, not the full story, i thinkthere was still room for reframing, hence I chose text reframes the image. A lot of what the text is doing is pointing out the victim and assigns blame with a lot of emotional tone.</t>
  </si>
  <si>
    <t>Украинские бойцы уже начали курс обучения работе с HIMARS Обучение обращению с РСЗО будет длиться три недели. Похоже, это будет последнее лето, которое увидят орки. прислать новость @hueviy_kherson_Bot 👉 ПОДПИСАТЬСЯ"</t>
  </si>
  <si>
    <t>Power projection</t>
  </si>
  <si>
    <t>Screenshot</t>
  </si>
  <si>
    <t>Social media - X</t>
  </si>
  <si>
    <t>English</t>
  </si>
  <si>
    <t>Other interesting thing</t>
  </si>
  <si>
    <t>Ukrainian Military</t>
  </si>
  <si>
    <t xml:space="preserve">High Mobility Artillery Rocket System, orc is an isnult from Lord of the Rings </t>
  </si>
  <si>
    <t>Other mobilization behavior</t>
  </si>
  <si>
    <t>Historical association</t>
  </si>
  <si>
    <t>Meme</t>
  </si>
  <si>
    <t>Sky</t>
  </si>
  <si>
    <t>Victimization</t>
  </si>
  <si>
    <t>None</t>
  </si>
  <si>
    <t>Screenshot, """cover image"" - image for text"</t>
  </si>
  <si>
    <t>Medical relief</t>
  </si>
  <si>
    <t>28475_FUI_AgADpMIxG57mUEs|hueviyherson.jpg</t>
  </si>
  <si>
    <t>https://drive.google.com/uc?export=view&amp;id=1M9N28XGb0oTmUbuYC4CcY_-7cwuteGmU</t>
  </si>
  <si>
    <t>30704_FUI_AgADXMIxGymboUg|hueviyherson.jpg</t>
  </si>
  <si>
    <t>https://drive.google.com/uc?export=view&amp;id=125DhH89FIjjXQgSDHHj1xdkcFjZbdVYo</t>
  </si>
  <si>
    <t>Фото обстрелянного рашистами медицинского учреждения показали в офисе Президента
прислать новость @hueviy_kherson_Bot
👉 ПОДПИСАТЬСЯ</t>
  </si>
  <si>
    <t>Photos of a medical facility shelled by racists were shown in the President’s office
send news to @hueviy_kherson_Bot
👉 SUBSCRIBE</t>
  </si>
  <si>
    <t>3115_FUI_AgADNLExG5M0uUk|hueviyherson.jpg</t>
  </si>
  <si>
    <t>https://drive.google.com/uc?export=view&amp;id=1L0WphA_5NM5KnZbuwaj65KknaqVRAgaz</t>
  </si>
  <si>
    <t>31188_FUI_AgAD0sQxG4xQ-Ug|hueviyherson.jpg</t>
  </si>
  <si>
    <t>https://drive.google.com/uc?export=view&amp;id=1uDCbtY6ASPNzLTfzS1fWIWPha89v2qRN</t>
  </si>
  <si>
    <t>31708_FUI_AgADksMxG2tVQUk|hueviyherson.jpg</t>
  </si>
  <si>
    <t>https://drive.google.com/uc?export=view&amp;id=1SMSOPMhCPBDKCztW9QMas8O9e8eaahT7</t>
  </si>
  <si>
    <t>3369_FUI_AgAD7bMxG3GTiEo|hueviyherson.jpg</t>
  </si>
  <si>
    <t>https://drive.google.com/uc?export=view&amp;id=1L8GBNXjSBnVh7q3Bdxan7W1Rh2iKCGPw</t>
  </si>
  <si>
    <t>33897_FUI_AgADR8cxG2o7sUo|hueviyherson.jpg</t>
  </si>
  <si>
    <t>https://drive.google.com/uc?export=view&amp;id=1LdpZlgRO6JQ6MgpqiEX7ugKs9kMD5cNX</t>
  </si>
  <si>
    <t>33980_FUI_AgADlccxG6-DwUo|hueviyherson.jpg</t>
  </si>
  <si>
    <t>https://drive.google.com/uc?export=view&amp;id=1R3g_DLdsiszhwFKIGw8dj8AnVnWISoEM</t>
  </si>
  <si>
    <t>38458_FUI_AgAD3skxGw6nSEo|hueviyherson.jpg</t>
  </si>
  <si>
    <t>https://drive.google.com/uc?export=view&amp;id=1YNktfHd5UiG1CNJ-ciVDtokF0_26716i</t>
  </si>
  <si>
    <t>38574_FUI_AgADhckxGwxjYUo|hueviyherson.jpg</t>
  </si>
  <si>
    <t>https://drive.google.com/uc?export=view&amp;id=1gijO13TnyEjpTOvf58ZGwxIM3yIHDA0U</t>
  </si>
  <si>
    <t>42350_FUI_AgADWssxG-_T8Eg|hueviyherson.jpg</t>
  </si>
  <si>
    <t>https://drive.google.com/uc?export=view&amp;id=1N-VjBQNp4NGhBS6pPX2AdFGXeGeMdZ1S</t>
  </si>
  <si>
    <t>Передмістя Херсону обстрілюють запалювальними снарядами
Надіслати новину @hueviy_kherson_Bot
👉 ПІДПИСАТИСЯ</t>
  </si>
  <si>
    <t>The suburbs of Kherson are shelled with incendiary shells
Send news to @hueviy_kherson_Bot
👉 SUBSCRIBE</t>
  </si>
  <si>
    <t>42842_FUI_AgADe8cxG6HRWEk|hueviyherson.jpg</t>
  </si>
  <si>
    <t>https://drive.google.com/uc?export=view&amp;id=1Ud9oxAFjcGZiFL8Wy9oN4NARZQKofR5i</t>
  </si>
  <si>
    <t>Discrediting, Emotion</t>
  </si>
  <si>
    <t>Russian infrastructure/normalization</t>
  </si>
  <si>
    <t>Unknown</t>
  </si>
  <si>
    <t>Image reframes/challenges text</t>
  </si>
  <si>
    <t>4507_FUI_AgADkbUxG-OooUk|hueviyherson.jpg</t>
  </si>
  <si>
    <t>https://drive.google.com/uc?export=view&amp;id=1c2PE9rGWyNVr95fnPH7iqcLlmHUdjv9C</t>
  </si>
  <si>
    <t>Discrediting</t>
  </si>
  <si>
    <t>Photograph, News article</t>
  </si>
  <si>
    <t>Ukrainian Gvt</t>
  </si>
  <si>
    <t>Ukraine</t>
  </si>
  <si>
    <t xml:space="preserve">Ukrianian military insignia logo (operational command south) </t>
  </si>
  <si>
    <t>4552_FUI_AgADW7MxG_IawUk|hueviyherson.jpg</t>
  </si>
  <si>
    <t>https://drive.google.com/uc?export=view&amp;id=1dAeuLUZJxZPNSkvXJp7ExR7BHHGH_FXs</t>
  </si>
  <si>
    <t>В Херсонской области мужчина избил приезжего на вокзале
Медработник сообщил в полицию, что в Каховскую больницу доставили мужчину без сознания, в тяжелом состоянии и с явными телесными повреждениями. 
Посмотрев камеры наблюдения копы выяснили что мужчина распивал спиртные напитки с местным судимым за убийство гражданином с недостатками слуха. После чего, в ходе ссоры местный избил приезжего. Тот упал, но быстро встал и они продолжили пить. После чего нападавший ушел, а потерпевший упал без сознания.
Полицейские установили личность мужчины, который нанес удары потерпевшему. Им оказался 35-летний местный житель, который ранее уже был судим за убийство.  
Досудебное расследование продолжается.
Полиция устанавливает личность потерпевшего. Если вам что-то известно о мужчине на фото — звоните 102.
Предложить Новость / Хуевый Херсон</t>
  </si>
  <si>
    <t>In the Kherson region, a man beat up a visitor at the station
The paramedic reported to the police that a man was taken to the Kakhovka hospital unconscious, in serious condition and with obvious injuries.
After looking at surveillance cameras, the cops found out that the man was drinking alcohol with a local hearing-impaired citizen convicted of murder.After which, during a quarrel, the local beat up the visitor.He fell, but quickly got up and they continued drinking.After which the attacker left, and the victim fell unconscious.
Police have identified the man who struck the victim.He turned out to be a 35-year-old local resident who had previously been convicted of murder.
The pre-trial investigation continues.
The police are identifying the victim.If you know anything about the man in the photo, call 102.
Suggest News / Crappy Kherson</t>
  </si>
  <si>
    <t>47494_FUI_AgADj9IxG4aUcEk|hueviyherson.jpg</t>
  </si>
  <si>
    <t>https://drive.google.com/uc?export=view&amp;id=1LATmy1nWCVX1nyHr6DGU6MhelRIbQmn3</t>
  </si>
  <si>
    <t>В роспабліках вже показують фото після прильоту в Скадовську
Надіслати новину @hueviy_kherson_Bot
👉 ПІДПИСАТИСЯ</t>
  </si>
  <si>
    <t>Advertisements are already showing photos after the arrival in Skadovsk
Send news to @hueviy_kherson_Bot
👉 SUBSCRIBE</t>
  </si>
  <si>
    <t>Emotion, Discrediting</t>
  </si>
  <si>
    <t>5897_FUI_AgAD_LYxG_ptkEk|hueviyherson.jpg</t>
  </si>
  <si>
    <t>https://drive.google.com/uc?export=view&amp;id=1vRYacbkg2KAEGNM7JEmaG22ZlgZSbUDb</t>
  </si>
  <si>
    <t>8648_FUI_AgAD87sxGzFM4Eg|hueviyherson.jpg</t>
  </si>
  <si>
    <t>https://drive.google.com/uc?export=view&amp;id=1Kgn_G5AWb3MeaXz9UFYL37FvaQRK4plG</t>
  </si>
  <si>
    <r>
      <rPr>
        <rFont val="Arial"/>
        <b/>
        <color theme="1"/>
      </rPr>
      <t xml:space="preserve">TEXT IN IMAGE 
</t>
    </r>
    <r>
      <rPr>
        <rFont val="Arial"/>
        <b/>
        <color theme="1"/>
      </rPr>
      <t xml:space="preserve">
Text and image framing - does the text match the image or is it different than the image such that it reframes it? ie is it just an image of a tree with a very pro-Russian phrase? That's reframing</t>
    </r>
  </si>
  <si>
    <t>Discrediting, Emotion, Conspiracy</t>
  </si>
  <si>
    <t>"Russian out group (by Ukrainians or others, outgrouping Russians)", Russian in group (by Russians for Russians)</t>
  </si>
  <si>
    <t>"Misc landscape (building, nature) image", Misc motivation post</t>
  </si>
  <si>
    <t>"Misc landscape (building, nature) image"</t>
  </si>
  <si>
    <t>"Lifestyle content - outfits, cooking, etc"</t>
  </si>
  <si>
    <t>Misc motivation post</t>
  </si>
  <si>
    <t>19920_FUI_AgADrLsxG3Vc4Eg|hueviyherson.jpg</t>
  </si>
  <si>
    <t>https://drive.google.com/uc?export=view&amp;id=1e3IQqAzLy7gykU0s4zbrb-XFLAyTkVxe</t>
  </si>
  <si>
    <t>2141_FUI_AgADebAxG7MagEo|hueviyherson.jpg</t>
  </si>
  <si>
    <t>https://drive.google.com/uc?export=view&amp;id=11Z7tX-BK1IH5Jg7kg45RMEw-q9EdOeU6</t>
  </si>
  <si>
    <t>Polarization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</si>
</sst>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color theme="1"/>
      <name val="Arial"/>
    </font>
    <font>
      <color theme="1"/>
      <name val="Arial"/>
    </font>
    <font>
      <b/>
      <color theme="1"/>
      <name val="Arial"/>
      <scheme val="minor"/>
    </font>
    <font>
      <u/>
      <color rgb="FF0000FF"/>
    </font>
    <font>
      <u/>
      <color rgb="FF1155CC"/>
      <name val="Arial"/>
    </font>
    <font>
      <u/>
      <color rgb="FF0000FF"/>
    </font>
    <font>
      <u/>
      <color rgb="FF0000FF"/>
    </font>
    <font>
      <u/>
      <color rgb="FF0000FF"/>
    </font>
    <font>
      <u/>
      <color rgb="FF0000FF"/>
    </font>
  </fonts>
  <fills count="11">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CCCCCC"/>
        <bgColor rgb="FFCCCCCC"/>
      </patternFill>
    </fill>
    <fill>
      <patternFill patternType="solid">
        <fgColor rgb="FFFF0000"/>
        <bgColor rgb="FFFF0000"/>
      </patternFill>
    </fill>
    <fill>
      <patternFill patternType="solid">
        <fgColor rgb="FFB7B7B7"/>
        <bgColor rgb="FFB7B7B7"/>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2" fontId="2" numFmtId="0" xfId="0" applyAlignment="1" applyFill="1" applyFont="1">
      <alignment shrinkToFit="0" vertical="bottom" wrapText="1"/>
    </xf>
    <xf borderId="0" fillId="2" fontId="3" numFmtId="0" xfId="0" applyAlignment="1" applyFont="1">
      <alignment vertical="bottom"/>
    </xf>
    <xf borderId="0" fillId="3" fontId="2" numFmtId="0" xfId="0" applyAlignment="1" applyFill="1" applyFont="1">
      <alignment shrinkToFit="0" vertical="bottom" wrapText="1"/>
    </xf>
    <xf borderId="0" fillId="4" fontId="2" numFmtId="0" xfId="0" applyAlignment="1" applyFill="1" applyFont="1">
      <alignment shrinkToFit="0" vertical="bottom" wrapText="1"/>
    </xf>
    <xf borderId="0" fillId="4" fontId="3" numFmtId="0" xfId="0" applyAlignment="1" applyFont="1">
      <alignment vertical="bottom"/>
    </xf>
    <xf borderId="0" fillId="5" fontId="3" numFmtId="0" xfId="0" applyAlignment="1" applyFill="1" applyFont="1">
      <alignment vertical="bottom"/>
    </xf>
    <xf borderId="0" fillId="6" fontId="2" numFmtId="0" xfId="0" applyAlignment="1" applyFill="1" applyFont="1">
      <alignment shrinkToFit="0" vertical="bottom" wrapText="1"/>
    </xf>
    <xf borderId="0" fillId="3" fontId="3" numFmtId="0" xfId="0" applyAlignment="1" applyFont="1">
      <alignment vertical="bottom"/>
    </xf>
    <xf borderId="0" fillId="5" fontId="2" numFmtId="0" xfId="0" applyAlignment="1" applyFont="1">
      <alignment shrinkToFit="0" vertical="bottom" wrapText="1"/>
    </xf>
    <xf borderId="0" fillId="7" fontId="2" numFmtId="0" xfId="0" applyAlignment="1" applyFill="1" applyFont="1">
      <alignment shrinkToFit="0" vertical="bottom" wrapText="1"/>
    </xf>
    <xf borderId="0" fillId="0" fontId="4" numFmtId="0" xfId="0" applyAlignment="1" applyFont="1">
      <alignment readingOrder="0"/>
    </xf>
    <xf borderId="0" fillId="0" fontId="4" numFmtId="0" xfId="0" applyAlignment="1" applyFont="1">
      <alignment readingOrder="0" shrinkToFit="0" wrapText="1"/>
    </xf>
    <xf borderId="0" fillId="7" fontId="3" numFmtId="0" xfId="0" applyAlignment="1" applyFont="1">
      <alignment vertical="bottom"/>
    </xf>
    <xf borderId="0" fillId="0" fontId="5" numFmtId="0" xfId="0" applyAlignment="1" applyFont="1">
      <alignment readingOrder="0"/>
    </xf>
    <xf borderId="0" fillId="0" fontId="1" numFmtId="0" xfId="0" applyFont="1"/>
    <xf borderId="0" fillId="0" fontId="3" numFmtId="0" xfId="0" applyAlignment="1" applyFont="1">
      <alignment vertical="bottom"/>
    </xf>
    <xf borderId="0" fillId="0" fontId="6" numFmtId="0" xfId="0" applyAlignment="1" applyFont="1">
      <alignment vertical="bottom"/>
    </xf>
    <xf borderId="0" fillId="0" fontId="1" numFmtId="0" xfId="0" applyAlignment="1" applyFont="1">
      <alignment shrinkToFit="0" wrapText="1"/>
    </xf>
    <xf borderId="0" fillId="0" fontId="3" numFmtId="0" xfId="0" applyAlignment="1" applyFont="1">
      <alignment readingOrder="0" vertical="bottom"/>
    </xf>
    <xf borderId="0" fillId="0" fontId="3" numFmtId="0" xfId="0" applyAlignment="1" applyFont="1">
      <alignment readingOrder="0" vertical="bottom"/>
    </xf>
    <xf borderId="0" fillId="7" fontId="3" numFmtId="0" xfId="0" applyAlignment="1" applyFont="1">
      <alignment horizontal="left" readingOrder="0" vertical="top"/>
    </xf>
    <xf borderId="0" fillId="7" fontId="3" numFmtId="0" xfId="0" applyAlignment="1" applyFont="1">
      <alignment readingOrder="0" vertical="bottom"/>
    </xf>
    <xf borderId="0" fillId="0" fontId="7" numFmtId="0" xfId="0" applyAlignment="1" applyFont="1">
      <alignment readingOrder="0"/>
    </xf>
    <xf borderId="0" fillId="0" fontId="3" numFmtId="0" xfId="0" applyAlignment="1" applyFont="1">
      <alignment horizontal="right" readingOrder="0" vertical="bottom"/>
    </xf>
    <xf borderId="0" fillId="8" fontId="1" numFmtId="0" xfId="0" applyAlignment="1" applyFill="1" applyFont="1">
      <alignment readingOrder="0"/>
    </xf>
    <xf borderId="0" fillId="8" fontId="8" numFmtId="0" xfId="0" applyAlignment="1" applyFont="1">
      <alignment readingOrder="0"/>
    </xf>
    <xf borderId="0" fillId="8" fontId="1" numFmtId="0" xfId="0" applyFont="1"/>
    <xf borderId="0" fillId="8" fontId="1" numFmtId="0" xfId="0" applyAlignment="1" applyFont="1">
      <alignment shrinkToFit="0" wrapText="1"/>
    </xf>
    <xf borderId="0" fillId="8" fontId="1" numFmtId="0" xfId="0" applyAlignment="1" applyFont="1">
      <alignment readingOrder="0" shrinkToFit="0" wrapText="1"/>
    </xf>
    <xf borderId="0" fillId="8" fontId="3" numFmtId="0" xfId="0" applyAlignment="1" applyFont="1">
      <alignment vertical="bottom"/>
    </xf>
    <xf borderId="0" fillId="9" fontId="1" numFmtId="0" xfId="0" applyAlignment="1" applyFill="1" applyFont="1">
      <alignment readingOrder="0"/>
    </xf>
    <xf borderId="0" fillId="9" fontId="9" numFmtId="0" xfId="0" applyAlignment="1" applyFont="1">
      <alignment readingOrder="0"/>
    </xf>
    <xf borderId="0" fillId="9" fontId="1" numFmtId="0" xfId="0" applyFont="1"/>
    <xf borderId="0" fillId="9" fontId="1" numFmtId="0" xfId="0" applyAlignment="1" applyFont="1">
      <alignment shrinkToFit="0" wrapText="1"/>
    </xf>
    <xf borderId="0" fillId="9" fontId="1" numFmtId="0" xfId="0" applyAlignment="1" applyFont="1">
      <alignment readingOrder="0" shrinkToFit="0" wrapText="1"/>
    </xf>
    <xf borderId="0" fillId="9" fontId="3" numFmtId="0" xfId="0" applyAlignment="1" applyFont="1">
      <alignment vertical="bottom"/>
    </xf>
    <xf borderId="0" fillId="10" fontId="1" numFmtId="0" xfId="0" applyAlignment="1" applyFill="1" applyFont="1">
      <alignment readingOrder="0"/>
    </xf>
    <xf borderId="0" fillId="10" fontId="10" numFmtId="0" xfId="0" applyAlignment="1" applyFont="1">
      <alignment readingOrder="0"/>
    </xf>
    <xf borderId="0" fillId="10" fontId="1" numFmtId="0" xfId="0" applyFont="1"/>
    <xf borderId="0" fillId="10" fontId="1" numFmtId="0" xfId="0" applyAlignment="1" applyFont="1">
      <alignment shrinkToFit="0" wrapText="1"/>
    </xf>
    <xf borderId="0" fillId="10" fontId="1" numFmtId="0" xfId="0" applyAlignment="1" applyFont="1">
      <alignment readingOrder="0" shrinkToFit="0" wrapText="1"/>
    </xf>
    <xf borderId="0" fillId="10" fontId="3" numFmtId="0" xfId="0" applyAlignment="1" applyFont="1">
      <alignment vertical="bottom"/>
    </xf>
    <xf borderId="0" fillId="9" fontId="1" numFmtId="0" xfId="0" applyAlignment="1" applyFont="1">
      <alignment readingOrder="0" shrinkToFit="0" wrapText="0"/>
    </xf>
    <xf borderId="0" fillId="8" fontId="3" numFmtId="0" xfId="0" applyAlignment="1" applyFont="1">
      <alignment readingOrder="0" vertical="bottom"/>
    </xf>
    <xf borderId="0" fillId="8"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49</xdr:col>
      <xdr:colOff>895350</xdr:colOff>
      <xdr:row>10</xdr:row>
      <xdr:rowOff>190500</xdr:rowOff>
    </xdr:from>
    <xdr:ext cx="20478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MPK78hSHQF5tKdHs_OW6gKK0os6QzK3Z" TargetMode="External"/><Relationship Id="rId22" Type="http://schemas.openxmlformats.org/officeDocument/2006/relationships/hyperlink" Target="https://drive.google.com/uc?export=view&amp;id=1MF18VZ3Gg0nqxVOr847-ZKeaHwh1f96A" TargetMode="External"/><Relationship Id="rId21" Type="http://schemas.openxmlformats.org/officeDocument/2006/relationships/hyperlink" Target="https://drive.google.com/uc?export=view&amp;id=1hVIQ94OMOM0cxx7ZMFtTxfRGK9KOOO72" TargetMode="External"/><Relationship Id="rId24" Type="http://schemas.openxmlformats.org/officeDocument/2006/relationships/hyperlink" Target="https://drive.google.com/uc?export=view&amp;id=1Wziz8h0r6udpZ1wfItrx7JKtrM27M27S" TargetMode="External"/><Relationship Id="rId23" Type="http://schemas.openxmlformats.org/officeDocument/2006/relationships/hyperlink" Target="https://drive.google.com/uc?export=view&amp;id=10OJ0Pn5arPbG9i0iBMLNeYEeIfQqm59t" TargetMode="External"/><Relationship Id="rId1" Type="http://schemas.openxmlformats.org/officeDocument/2006/relationships/hyperlink" Target="https://drive.google.com/uc?export=view&amp;id=1JfDAvAaE1rIL4McPdY6qIwUyGyYuehhp" TargetMode="External"/><Relationship Id="rId2" Type="http://schemas.openxmlformats.org/officeDocument/2006/relationships/hyperlink" Target="https://drive.google.com/uc?export=view&amp;id=1J49Gfc4bVzKuvxGkpv8zv6guWvnnY3EA" TargetMode="External"/><Relationship Id="rId3" Type="http://schemas.openxmlformats.org/officeDocument/2006/relationships/hyperlink" Target="https://drive.google.com/uc?export=view&amp;id=1MXEcWSpl0gmzjGsPlEMoQtvPfqe0d_jr" TargetMode="External"/><Relationship Id="rId4" Type="http://schemas.openxmlformats.org/officeDocument/2006/relationships/hyperlink" Target="https://drive.google.com/uc?export=view&amp;id=1Ojazvc8xkFii9uqOHBl6y4Vihx433y5v" TargetMode="External"/><Relationship Id="rId9" Type="http://schemas.openxmlformats.org/officeDocument/2006/relationships/hyperlink" Target="https://drive.google.com/uc?export=view&amp;id=1Oza3KMMixd8mOEaWvtNzFsH-1Pr5dzqD" TargetMode="External"/><Relationship Id="rId26" Type="http://schemas.openxmlformats.org/officeDocument/2006/relationships/hyperlink" Target="https://drive.google.com/uc?export=view&amp;id=1IkVYI75k3Fli1oZOgVFA_Qnh4VjbZEoG" TargetMode="External"/><Relationship Id="rId25" Type="http://schemas.openxmlformats.org/officeDocument/2006/relationships/hyperlink" Target="https://drive.google.com/uc?export=view&amp;id=1L0VvmY8MKQMF9gNobEM7o68_AOovAHPb" TargetMode="External"/><Relationship Id="rId27" Type="http://schemas.openxmlformats.org/officeDocument/2006/relationships/drawing" Target="../drawings/drawing1.xml"/><Relationship Id="rId5" Type="http://schemas.openxmlformats.org/officeDocument/2006/relationships/hyperlink" Target="https://drive.google.com/uc?export=view&amp;id=1yngs7LqTHvGIMbqZ4hcwG79ijEFgnPnk" TargetMode="External"/><Relationship Id="rId6" Type="http://schemas.openxmlformats.org/officeDocument/2006/relationships/hyperlink" Target="https://drive.google.com/uc?export=view&amp;id=1XduVUue6rnheAMdlVSEYV0_eFu0geikY" TargetMode="External"/><Relationship Id="rId7" Type="http://schemas.openxmlformats.org/officeDocument/2006/relationships/hyperlink" Target="https://drive.google.com/uc?export=view&amp;id=1-Xm53O1x22DSK1K9TYpva2sulz1oWVOa" TargetMode="External"/><Relationship Id="rId8" Type="http://schemas.openxmlformats.org/officeDocument/2006/relationships/hyperlink" Target="https://drive.google.com/uc?export=view&amp;id=1AKoQ-XoHxuN3UKw5aylfpyQpV97sQmO0" TargetMode="External"/><Relationship Id="rId11" Type="http://schemas.openxmlformats.org/officeDocument/2006/relationships/hyperlink" Target="https://drive.google.com/uc?export=view&amp;id=1EHae-Ca2CBMJdJuhDkP2spQhUDSyj10i" TargetMode="External"/><Relationship Id="rId10" Type="http://schemas.openxmlformats.org/officeDocument/2006/relationships/hyperlink" Target="https://drive.google.com/uc?export=view&amp;id=1Tvarsnfxg3ZicRhH_EuUxr7IryjTQtan" TargetMode="External"/><Relationship Id="rId13" Type="http://schemas.openxmlformats.org/officeDocument/2006/relationships/hyperlink" Target="https://drive.google.com/uc?export=view&amp;id=1fQ5fzHB40zNWUeTpYSybFMA2Dlrud6kE" TargetMode="External"/><Relationship Id="rId12" Type="http://schemas.openxmlformats.org/officeDocument/2006/relationships/hyperlink" Target="https://drive.google.com/uc?export=view&amp;id=1k6ocBN2POcpbbuWgsadcrC99GfnEruXp" TargetMode="External"/><Relationship Id="rId15" Type="http://schemas.openxmlformats.org/officeDocument/2006/relationships/hyperlink" Target="https://drive.google.com/uc?export=view&amp;id=1WaMnz7zHb9TT-9HdnDTWqCipzP2WUDeC" TargetMode="External"/><Relationship Id="rId14" Type="http://schemas.openxmlformats.org/officeDocument/2006/relationships/hyperlink" Target="https://drive.google.com/uc?export=view&amp;id=1PEmnXKGzEAE6R6ujZHg4395Yhnf2_hr1" TargetMode="External"/><Relationship Id="rId17" Type="http://schemas.openxmlformats.org/officeDocument/2006/relationships/hyperlink" Target="https://drive.google.com/uc?export=view&amp;id=1zKhKTKuGvJnm9JXoxXWPPXwt4iaGy9me" TargetMode="External"/><Relationship Id="rId16" Type="http://schemas.openxmlformats.org/officeDocument/2006/relationships/hyperlink" Target="https://drive.google.com/uc?export=view&amp;id=1G2iVRAc-wwWShkVRL0AKNU-0VV6yeL3z" TargetMode="External"/><Relationship Id="rId19" Type="http://schemas.openxmlformats.org/officeDocument/2006/relationships/hyperlink" Target="https://drive.google.com/uc?export=view&amp;id=1v3yqvG3AnzAIJ-27p1yyxsCi1gPz8qHw" TargetMode="External"/><Relationship Id="rId18" Type="http://schemas.openxmlformats.org/officeDocument/2006/relationships/hyperlink" Target="https://drive.google.com/uc?export=view&amp;id=1T-C7az6LA7d6ilR2-8OVVge6p-QGQKNb"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uc?export=view&amp;id=1MPK78hSHQF5tKdHs_OW6gKK0os6QzK3Z" TargetMode="External"/><Relationship Id="rId22" Type="http://schemas.openxmlformats.org/officeDocument/2006/relationships/hyperlink" Target="https://drive.google.com/uc?export=view&amp;id=1MF18VZ3Gg0nqxVOr847-ZKeaHwh1f96A" TargetMode="External"/><Relationship Id="rId21" Type="http://schemas.openxmlformats.org/officeDocument/2006/relationships/hyperlink" Target="https://drive.google.com/uc?export=view&amp;id=1hVIQ94OMOM0cxx7ZMFtTxfRGK9KOOO72" TargetMode="External"/><Relationship Id="rId24" Type="http://schemas.openxmlformats.org/officeDocument/2006/relationships/hyperlink" Target="https://drive.google.com/uc?export=view&amp;id=1Wziz8h0r6udpZ1wfItrx7JKtrM27M27S" TargetMode="External"/><Relationship Id="rId23" Type="http://schemas.openxmlformats.org/officeDocument/2006/relationships/hyperlink" Target="https://drive.google.com/uc?export=view&amp;id=10OJ0Pn5arPbG9i0iBMLNeYEeIfQqm59t" TargetMode="External"/><Relationship Id="rId1" Type="http://schemas.openxmlformats.org/officeDocument/2006/relationships/hyperlink" Target="https://drive.google.com/uc?export=view&amp;id=1JfDAvAaE1rIL4McPdY6qIwUyGyYuehhp" TargetMode="External"/><Relationship Id="rId2" Type="http://schemas.openxmlformats.org/officeDocument/2006/relationships/hyperlink" Target="https://drive.google.com/uc?export=view&amp;id=1J49Gfc4bVzKuvxGkpv8zv6guWvnnY3EA" TargetMode="External"/><Relationship Id="rId3" Type="http://schemas.openxmlformats.org/officeDocument/2006/relationships/hyperlink" Target="https://drive.google.com/uc?export=view&amp;id=1MXEcWSpl0gmzjGsPlEMoQtvPfqe0d_jr" TargetMode="External"/><Relationship Id="rId4" Type="http://schemas.openxmlformats.org/officeDocument/2006/relationships/hyperlink" Target="https://drive.google.com/uc?export=view&amp;id=1Ojazvc8xkFii9uqOHBl6y4Vihx433y5v" TargetMode="External"/><Relationship Id="rId9" Type="http://schemas.openxmlformats.org/officeDocument/2006/relationships/hyperlink" Target="https://drive.google.com/uc?export=view&amp;id=1Oza3KMMixd8mOEaWvtNzFsH-1Pr5dzqD" TargetMode="External"/><Relationship Id="rId26" Type="http://schemas.openxmlformats.org/officeDocument/2006/relationships/hyperlink" Target="https://drive.google.com/uc?export=view&amp;id=1IkVYI75k3Fli1oZOgVFA_Qnh4VjbZEoG" TargetMode="External"/><Relationship Id="rId25" Type="http://schemas.openxmlformats.org/officeDocument/2006/relationships/hyperlink" Target="https://drive.google.com/uc?export=view&amp;id=1L0VvmY8MKQMF9gNobEM7o68_AOovAHPb" TargetMode="External"/><Relationship Id="rId27" Type="http://schemas.openxmlformats.org/officeDocument/2006/relationships/drawing" Target="../drawings/drawing2.xml"/><Relationship Id="rId5" Type="http://schemas.openxmlformats.org/officeDocument/2006/relationships/hyperlink" Target="https://drive.google.com/uc?export=view&amp;id=1yngs7LqTHvGIMbqZ4hcwG79ijEFgnPnk" TargetMode="External"/><Relationship Id="rId6" Type="http://schemas.openxmlformats.org/officeDocument/2006/relationships/hyperlink" Target="https://drive.google.com/uc?export=view&amp;id=1XduVUue6rnheAMdlVSEYV0_eFu0geikY" TargetMode="External"/><Relationship Id="rId7" Type="http://schemas.openxmlformats.org/officeDocument/2006/relationships/hyperlink" Target="https://drive.google.com/uc?export=view&amp;id=1-Xm53O1x22DSK1K9TYpva2sulz1oWVOa" TargetMode="External"/><Relationship Id="rId8" Type="http://schemas.openxmlformats.org/officeDocument/2006/relationships/hyperlink" Target="https://drive.google.com/uc?export=view&amp;id=1AKoQ-XoHxuN3UKw5aylfpyQpV97sQmO0" TargetMode="External"/><Relationship Id="rId11" Type="http://schemas.openxmlformats.org/officeDocument/2006/relationships/hyperlink" Target="https://drive.google.com/uc?export=view&amp;id=1EHae-Ca2CBMJdJuhDkP2spQhUDSyj10i" TargetMode="External"/><Relationship Id="rId10" Type="http://schemas.openxmlformats.org/officeDocument/2006/relationships/hyperlink" Target="https://drive.google.com/uc?export=view&amp;id=1Tvarsnfxg3ZicRhH_EuUxr7IryjTQtan" TargetMode="External"/><Relationship Id="rId13" Type="http://schemas.openxmlformats.org/officeDocument/2006/relationships/hyperlink" Target="https://drive.google.com/uc?export=view&amp;id=1fQ5fzHB40zNWUeTpYSybFMA2Dlrud6kE" TargetMode="External"/><Relationship Id="rId12" Type="http://schemas.openxmlformats.org/officeDocument/2006/relationships/hyperlink" Target="https://drive.google.com/uc?export=view&amp;id=1k6ocBN2POcpbbuWgsadcrC99GfnEruXp" TargetMode="External"/><Relationship Id="rId15" Type="http://schemas.openxmlformats.org/officeDocument/2006/relationships/hyperlink" Target="https://drive.google.com/uc?export=view&amp;id=1WaMnz7zHb9TT-9HdnDTWqCipzP2WUDeC" TargetMode="External"/><Relationship Id="rId14" Type="http://schemas.openxmlformats.org/officeDocument/2006/relationships/hyperlink" Target="https://drive.google.com/uc?export=view&amp;id=1PEmnXKGzEAE6R6ujZHg4395Yhnf2_hr1" TargetMode="External"/><Relationship Id="rId17" Type="http://schemas.openxmlformats.org/officeDocument/2006/relationships/hyperlink" Target="https://drive.google.com/uc?export=view&amp;id=1zKhKTKuGvJnm9JXoxXWPPXwt4iaGy9me" TargetMode="External"/><Relationship Id="rId16" Type="http://schemas.openxmlformats.org/officeDocument/2006/relationships/hyperlink" Target="https://drive.google.com/uc?export=view&amp;id=1G2iVRAc-wwWShkVRL0AKNU-0VV6yeL3z" TargetMode="External"/><Relationship Id="rId19" Type="http://schemas.openxmlformats.org/officeDocument/2006/relationships/hyperlink" Target="https://drive.google.com/uc?export=view&amp;id=1v3yqvG3AnzAIJ-27p1yyxsCi1gPz8qHw" TargetMode="External"/><Relationship Id="rId18" Type="http://schemas.openxmlformats.org/officeDocument/2006/relationships/hyperlink" Target="https://drive.google.com/uc?export=view&amp;id=1T-C7az6LA7d6ilR2-8OVVge6p-QGQKNb"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uc?export=view&amp;id=1YNktfHd5UiG1CNJ-ciVDtokF0_26716i" TargetMode="External"/><Relationship Id="rId22" Type="http://schemas.openxmlformats.org/officeDocument/2006/relationships/hyperlink" Target="https://drive.google.com/uc?export=view&amp;id=1N-VjBQNp4NGhBS6pPX2AdFGXeGeMdZ1S" TargetMode="External"/><Relationship Id="rId21" Type="http://schemas.openxmlformats.org/officeDocument/2006/relationships/hyperlink" Target="https://drive.google.com/uc?export=view&amp;id=1gijO13TnyEjpTOvf58ZGwxIM3yIHDA0U" TargetMode="External"/><Relationship Id="rId24" Type="http://schemas.openxmlformats.org/officeDocument/2006/relationships/hyperlink" Target="https://drive.google.com/uc?export=view&amp;id=1k6ocBN2POcpbbuWgsadcrC99GfnEruXp" TargetMode="External"/><Relationship Id="rId23" Type="http://schemas.openxmlformats.org/officeDocument/2006/relationships/hyperlink" Target="https://drive.google.com/uc?export=view&amp;id=1Ud9oxAFjcGZiFL8Wy9oN4NARZQKofR5i" TargetMode="External"/><Relationship Id="rId1" Type="http://schemas.openxmlformats.org/officeDocument/2006/relationships/hyperlink" Target="https://drive.google.com/uc?export=view&amp;id=1JfDAvAaE1rIL4McPdY6qIwUyGyYuehhp" TargetMode="External"/><Relationship Id="rId2" Type="http://schemas.openxmlformats.org/officeDocument/2006/relationships/hyperlink" Target="https://drive.google.com/uc?export=view&amp;id=1J49Gfc4bVzKuvxGkpv8zv6guWvnnY3EA" TargetMode="External"/><Relationship Id="rId3" Type="http://schemas.openxmlformats.org/officeDocument/2006/relationships/hyperlink" Target="https://drive.google.com/uc?export=view&amp;id=1MXEcWSpl0gmzjGsPlEMoQtvPfqe0d_jr" TargetMode="External"/><Relationship Id="rId4" Type="http://schemas.openxmlformats.org/officeDocument/2006/relationships/hyperlink" Target="https://drive.google.com/uc?export=view&amp;id=1Ojazvc8xkFii9uqOHBl6y4Vihx433y5v" TargetMode="External"/><Relationship Id="rId9" Type="http://schemas.openxmlformats.org/officeDocument/2006/relationships/hyperlink" Target="https://drive.google.com/uc?export=view&amp;id=1Oza3KMMixd8mOEaWvtNzFsH-1Pr5dzqD" TargetMode="External"/><Relationship Id="rId26" Type="http://schemas.openxmlformats.org/officeDocument/2006/relationships/hyperlink" Target="https://drive.google.com/uc?export=view&amp;id=1fQ5fzHB40zNWUeTpYSybFMA2Dlrud6kE" TargetMode="External"/><Relationship Id="rId25" Type="http://schemas.openxmlformats.org/officeDocument/2006/relationships/hyperlink" Target="https://drive.google.com/uc?export=view&amp;id=1c2PE9rGWyNVr95fnPH7iqcLlmHUdjv9C" TargetMode="External"/><Relationship Id="rId28" Type="http://schemas.openxmlformats.org/officeDocument/2006/relationships/hyperlink" Target="https://drive.google.com/uc?export=view&amp;id=1LATmy1nWCVX1nyHr6DGU6MhelRIbQmn3" TargetMode="External"/><Relationship Id="rId27" Type="http://schemas.openxmlformats.org/officeDocument/2006/relationships/hyperlink" Target="https://drive.google.com/uc?export=view&amp;id=1dAeuLUZJxZPNSkvXJp7ExR7BHHGH_FXs" TargetMode="External"/><Relationship Id="rId5" Type="http://schemas.openxmlformats.org/officeDocument/2006/relationships/hyperlink" Target="https://drive.google.com/uc?export=view&amp;id=1yngs7LqTHvGIMbqZ4hcwG79ijEFgnPnk" TargetMode="External"/><Relationship Id="rId6" Type="http://schemas.openxmlformats.org/officeDocument/2006/relationships/hyperlink" Target="https://drive.google.com/uc?export=view&amp;id=1XduVUue6rnheAMdlVSEYV0_eFu0geikY" TargetMode="External"/><Relationship Id="rId29" Type="http://schemas.openxmlformats.org/officeDocument/2006/relationships/hyperlink" Target="https://drive.google.com/uc?export=view&amp;id=1vRYacbkg2KAEGNM7JEmaG22ZlgZSbUDb" TargetMode="External"/><Relationship Id="rId7" Type="http://schemas.openxmlformats.org/officeDocument/2006/relationships/hyperlink" Target="https://drive.google.com/uc?export=view&amp;id=1-Xm53O1x22DSK1K9TYpva2sulz1oWVOa" TargetMode="External"/><Relationship Id="rId8" Type="http://schemas.openxmlformats.org/officeDocument/2006/relationships/hyperlink" Target="https://drive.google.com/uc?export=view&amp;id=1AKoQ-XoHxuN3UKw5aylfpyQpV97sQmO0" TargetMode="External"/><Relationship Id="rId31" Type="http://schemas.openxmlformats.org/officeDocument/2006/relationships/drawing" Target="../drawings/drawing3.xml"/><Relationship Id="rId30" Type="http://schemas.openxmlformats.org/officeDocument/2006/relationships/hyperlink" Target="https://drive.google.com/uc?export=view&amp;id=1Kgn_G5AWb3MeaXz9UFYL37FvaQRK4plG" TargetMode="External"/><Relationship Id="rId11" Type="http://schemas.openxmlformats.org/officeDocument/2006/relationships/hyperlink" Target="https://drive.google.com/uc?export=view&amp;id=1EHae-Ca2CBMJdJuhDkP2spQhUDSyj10i" TargetMode="External"/><Relationship Id="rId10" Type="http://schemas.openxmlformats.org/officeDocument/2006/relationships/hyperlink" Target="https://drive.google.com/uc?export=view&amp;id=1Tvarsnfxg3ZicRhH_EuUxr7IryjTQtan" TargetMode="External"/><Relationship Id="rId13" Type="http://schemas.openxmlformats.org/officeDocument/2006/relationships/hyperlink" Target="https://drive.google.com/uc?export=view&amp;id=125DhH89FIjjXQgSDHHj1xdkcFjZbdVYo" TargetMode="External"/><Relationship Id="rId12" Type="http://schemas.openxmlformats.org/officeDocument/2006/relationships/hyperlink" Target="https://drive.google.com/uc?export=view&amp;id=1M9N28XGb0oTmUbuYC4CcY_-7cwuteGmU" TargetMode="External"/><Relationship Id="rId15" Type="http://schemas.openxmlformats.org/officeDocument/2006/relationships/hyperlink" Target="https://drive.google.com/uc?export=view&amp;id=1uDCbtY6ASPNzLTfzS1fWIWPha89v2qRN" TargetMode="External"/><Relationship Id="rId14" Type="http://schemas.openxmlformats.org/officeDocument/2006/relationships/hyperlink" Target="https://drive.google.com/uc?export=view&amp;id=1L0WphA_5NM5KnZbuwaj65KknaqVRAgaz" TargetMode="External"/><Relationship Id="rId17" Type="http://schemas.openxmlformats.org/officeDocument/2006/relationships/hyperlink" Target="https://drive.google.com/uc?export=view&amp;id=1L8GBNXjSBnVh7q3Bdxan7W1Rh2iKCGPw" TargetMode="External"/><Relationship Id="rId16" Type="http://schemas.openxmlformats.org/officeDocument/2006/relationships/hyperlink" Target="https://drive.google.com/uc?export=view&amp;id=1SMSOPMhCPBDKCztW9QMas8O9e8eaahT7" TargetMode="External"/><Relationship Id="rId19" Type="http://schemas.openxmlformats.org/officeDocument/2006/relationships/hyperlink" Target="https://drive.google.com/uc?export=view&amp;id=1R3g_DLdsiszhwFKIGw8dj8AnVnWISoEM" TargetMode="External"/><Relationship Id="rId18" Type="http://schemas.openxmlformats.org/officeDocument/2006/relationships/hyperlink" Target="https://drive.google.com/uc?export=view&amp;id=1LdpZlgRO6JQ6MgpqiEX7ugKs9kMD5cNX"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uc?export=view&amp;id=1LdpZlgRO6JQ6MgpqiEX7ugKs9kMD5cNX" TargetMode="External"/><Relationship Id="rId22" Type="http://schemas.openxmlformats.org/officeDocument/2006/relationships/hyperlink" Target="https://drive.google.com/uc?export=view&amp;id=1YNktfHd5UiG1CNJ-ciVDtokF0_26716i" TargetMode="External"/><Relationship Id="rId21" Type="http://schemas.openxmlformats.org/officeDocument/2006/relationships/hyperlink" Target="https://drive.google.com/uc?export=view&amp;id=1R3g_DLdsiszhwFKIGw8dj8AnVnWISoEM" TargetMode="External"/><Relationship Id="rId24" Type="http://schemas.openxmlformats.org/officeDocument/2006/relationships/hyperlink" Target="https://drive.google.com/uc?export=view&amp;id=1N-VjBQNp4NGhBS6pPX2AdFGXeGeMdZ1S" TargetMode="External"/><Relationship Id="rId23" Type="http://schemas.openxmlformats.org/officeDocument/2006/relationships/hyperlink" Target="https://drive.google.com/uc?export=view&amp;id=1gijO13TnyEjpTOvf58ZGwxIM3yIHDA0U" TargetMode="External"/><Relationship Id="rId1" Type="http://schemas.openxmlformats.org/officeDocument/2006/relationships/hyperlink" Target="https://drive.google.com/uc?export=view&amp;id=1JfDAvAaE1rIL4McPdY6qIwUyGyYuehhp" TargetMode="External"/><Relationship Id="rId2" Type="http://schemas.openxmlformats.org/officeDocument/2006/relationships/hyperlink" Target="https://drive.google.com/uc?export=view&amp;id=1J49Gfc4bVzKuvxGkpv8zv6guWvnnY3EA" TargetMode="External"/><Relationship Id="rId3" Type="http://schemas.openxmlformats.org/officeDocument/2006/relationships/hyperlink" Target="https://drive.google.com/uc?export=view&amp;id=1MXEcWSpl0gmzjGsPlEMoQtvPfqe0d_jr" TargetMode="External"/><Relationship Id="rId4" Type="http://schemas.openxmlformats.org/officeDocument/2006/relationships/hyperlink" Target="https://drive.google.com/uc?export=view&amp;id=1Ojazvc8xkFii9uqOHBl6y4Vihx433y5v" TargetMode="External"/><Relationship Id="rId9" Type="http://schemas.openxmlformats.org/officeDocument/2006/relationships/hyperlink" Target="https://drive.google.com/uc?export=view&amp;id=11Z7tX-BK1IH5Jg7kg45RMEw-q9EdOeU6" TargetMode="External"/><Relationship Id="rId26" Type="http://schemas.openxmlformats.org/officeDocument/2006/relationships/hyperlink" Target="https://drive.google.com/uc?export=view&amp;id=1k6ocBN2POcpbbuWgsadcrC99GfnEruXp" TargetMode="External"/><Relationship Id="rId25" Type="http://schemas.openxmlformats.org/officeDocument/2006/relationships/hyperlink" Target="https://drive.google.com/uc?export=view&amp;id=1Ud9oxAFjcGZiFL8Wy9oN4NARZQKofR5i" TargetMode="External"/><Relationship Id="rId28" Type="http://schemas.openxmlformats.org/officeDocument/2006/relationships/hyperlink" Target="https://drive.google.com/uc?export=view&amp;id=1fQ5fzHB40zNWUeTpYSybFMA2Dlrud6kE" TargetMode="External"/><Relationship Id="rId27" Type="http://schemas.openxmlformats.org/officeDocument/2006/relationships/hyperlink" Target="https://drive.google.com/uc?export=view&amp;id=1c2PE9rGWyNVr95fnPH7iqcLlmHUdjv9C" TargetMode="External"/><Relationship Id="rId5" Type="http://schemas.openxmlformats.org/officeDocument/2006/relationships/hyperlink" Target="https://drive.google.com/uc?export=view&amp;id=1yngs7LqTHvGIMbqZ4hcwG79ijEFgnPnk" TargetMode="External"/><Relationship Id="rId6" Type="http://schemas.openxmlformats.org/officeDocument/2006/relationships/hyperlink" Target="https://drive.google.com/uc?export=view&amp;id=1XduVUue6rnheAMdlVSEYV0_eFu0geikY" TargetMode="External"/><Relationship Id="rId29" Type="http://schemas.openxmlformats.org/officeDocument/2006/relationships/hyperlink" Target="https://drive.google.com/uc?export=view&amp;id=1dAeuLUZJxZPNSkvXJp7ExR7BHHGH_FXs" TargetMode="External"/><Relationship Id="rId7" Type="http://schemas.openxmlformats.org/officeDocument/2006/relationships/hyperlink" Target="https://drive.google.com/uc?export=view&amp;id=1-Xm53O1x22DSK1K9TYpva2sulz1oWVOa" TargetMode="External"/><Relationship Id="rId8" Type="http://schemas.openxmlformats.org/officeDocument/2006/relationships/hyperlink" Target="https://drive.google.com/uc?export=view&amp;id=1e3IQqAzLy7gykU0s4zbrb-XFLAyTkVxe" TargetMode="External"/><Relationship Id="rId31" Type="http://schemas.openxmlformats.org/officeDocument/2006/relationships/hyperlink" Target="https://drive.google.com/uc?export=view&amp;id=1vRYacbkg2KAEGNM7JEmaG22ZlgZSbUDb" TargetMode="External"/><Relationship Id="rId30" Type="http://schemas.openxmlformats.org/officeDocument/2006/relationships/hyperlink" Target="https://drive.google.com/uc?export=view&amp;id=1LATmy1nWCVX1nyHr6DGU6MhelRIbQmn3" TargetMode="External"/><Relationship Id="rId11" Type="http://schemas.openxmlformats.org/officeDocument/2006/relationships/hyperlink" Target="https://drive.google.com/uc?export=view&amp;id=1Oza3KMMixd8mOEaWvtNzFsH-1Pr5dzqD" TargetMode="External"/><Relationship Id="rId33" Type="http://schemas.openxmlformats.org/officeDocument/2006/relationships/drawing" Target="../drawings/drawing4.xml"/><Relationship Id="rId10" Type="http://schemas.openxmlformats.org/officeDocument/2006/relationships/hyperlink" Target="https://drive.google.com/uc?export=view&amp;id=1AKoQ-XoHxuN3UKw5aylfpyQpV97sQmO0" TargetMode="External"/><Relationship Id="rId32" Type="http://schemas.openxmlformats.org/officeDocument/2006/relationships/hyperlink" Target="https://drive.google.com/uc?export=view&amp;id=1Kgn_G5AWb3MeaXz9UFYL37FvaQRK4plG" TargetMode="External"/><Relationship Id="rId13" Type="http://schemas.openxmlformats.org/officeDocument/2006/relationships/hyperlink" Target="https://drive.google.com/uc?export=view&amp;id=1EHae-Ca2CBMJdJuhDkP2spQhUDSyj10i" TargetMode="External"/><Relationship Id="rId12" Type="http://schemas.openxmlformats.org/officeDocument/2006/relationships/hyperlink" Target="https://drive.google.com/uc?export=view&amp;id=1Tvarsnfxg3ZicRhH_EuUxr7IryjTQtan" TargetMode="External"/><Relationship Id="rId15" Type="http://schemas.openxmlformats.org/officeDocument/2006/relationships/hyperlink" Target="https://drive.google.com/uc?export=view&amp;id=125DhH89FIjjXQgSDHHj1xdkcFjZbdVYo" TargetMode="External"/><Relationship Id="rId14" Type="http://schemas.openxmlformats.org/officeDocument/2006/relationships/hyperlink" Target="https://drive.google.com/uc?export=view&amp;id=1M9N28XGb0oTmUbuYC4CcY_-7cwuteGmU" TargetMode="External"/><Relationship Id="rId17" Type="http://schemas.openxmlformats.org/officeDocument/2006/relationships/hyperlink" Target="https://drive.google.com/uc?export=view&amp;id=1uDCbtY6ASPNzLTfzS1fWIWPha89v2qRN" TargetMode="External"/><Relationship Id="rId16" Type="http://schemas.openxmlformats.org/officeDocument/2006/relationships/hyperlink" Target="https://drive.google.com/uc?export=view&amp;id=1L0WphA_5NM5KnZbuwaj65KknaqVRAgaz" TargetMode="External"/><Relationship Id="rId19" Type="http://schemas.openxmlformats.org/officeDocument/2006/relationships/hyperlink" Target="https://drive.google.com/uc?export=view&amp;id=1L8GBNXjSBnVh7q3Bdxan7W1Rh2iKCGPw" TargetMode="External"/><Relationship Id="rId18" Type="http://schemas.openxmlformats.org/officeDocument/2006/relationships/hyperlink" Target="https://drive.google.com/uc?export=view&amp;id=1SMSOPMhCPBDKCztW9QMas8O9e8eaahT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 customWidth="1" min="4" max="4" width="33.5"/>
    <col customWidth="1" min="5" max="5" width="34.13"/>
  </cols>
  <sheetData>
    <row r="1">
      <c r="A1" s="1"/>
      <c r="B1" s="1"/>
      <c r="C1" s="1"/>
      <c r="D1" s="2"/>
      <c r="E1" s="2"/>
      <c r="F1" s="3" t="s">
        <v>0</v>
      </c>
      <c r="K1" s="4"/>
      <c r="L1" s="4"/>
      <c r="M1" s="4"/>
      <c r="N1" s="4"/>
      <c r="O1" s="4"/>
      <c r="P1" s="4"/>
      <c r="Q1" s="4"/>
      <c r="R1" s="5" t="s">
        <v>1</v>
      </c>
      <c r="X1" s="6" t="s">
        <v>2</v>
      </c>
      <c r="AB1" s="6" t="s">
        <v>3</v>
      </c>
      <c r="AC1" s="7"/>
      <c r="AD1" s="7"/>
      <c r="AE1" s="7"/>
      <c r="AF1" s="7"/>
      <c r="AG1" s="8"/>
      <c r="AH1" s="8"/>
      <c r="AI1" s="8"/>
      <c r="AJ1" s="8"/>
      <c r="AK1" s="8"/>
      <c r="AL1" s="8"/>
      <c r="AM1" s="8"/>
      <c r="AN1" s="9" t="s">
        <v>4</v>
      </c>
      <c r="AO1" s="5" t="s">
        <v>5</v>
      </c>
      <c r="AP1" s="10"/>
      <c r="AQ1" s="10"/>
      <c r="AR1" s="6" t="s">
        <v>6</v>
      </c>
      <c r="AT1" s="11" t="s">
        <v>7</v>
      </c>
      <c r="AY1" s="8"/>
      <c r="AZ1" s="12" t="s">
        <v>8</v>
      </c>
      <c r="BA1" s="12" t="s">
        <v>9</v>
      </c>
    </row>
    <row r="2">
      <c r="A2" s="13" t="s">
        <v>10</v>
      </c>
      <c r="B2" s="13" t="s">
        <v>11</v>
      </c>
      <c r="C2" s="13" t="s">
        <v>12</v>
      </c>
      <c r="D2" s="14" t="s">
        <v>13</v>
      </c>
      <c r="E2" s="14" t="s">
        <v>14</v>
      </c>
      <c r="F2" s="3" t="s">
        <v>15</v>
      </c>
      <c r="G2" s="3" t="s">
        <v>16</v>
      </c>
      <c r="H2" s="3" t="s">
        <v>17</v>
      </c>
      <c r="I2" s="3" t="s">
        <v>18</v>
      </c>
      <c r="J2" s="3" t="s">
        <v>19</v>
      </c>
      <c r="K2" s="3" t="s">
        <v>20</v>
      </c>
      <c r="L2" s="3" t="s">
        <v>21</v>
      </c>
      <c r="M2" s="3" t="s">
        <v>22</v>
      </c>
      <c r="N2" s="3" t="s">
        <v>23</v>
      </c>
      <c r="O2" s="3" t="s">
        <v>24</v>
      </c>
      <c r="P2" s="3" t="s">
        <v>25</v>
      </c>
      <c r="Q2" s="3" t="s">
        <v>26</v>
      </c>
      <c r="R2" s="5" t="s">
        <v>27</v>
      </c>
      <c r="S2" s="5" t="s">
        <v>28</v>
      </c>
      <c r="T2" s="5" t="s">
        <v>29</v>
      </c>
      <c r="U2" s="5" t="s">
        <v>30</v>
      </c>
      <c r="V2" s="5" t="s">
        <v>31</v>
      </c>
      <c r="W2" s="5" t="s">
        <v>32</v>
      </c>
      <c r="X2" s="6" t="s">
        <v>33</v>
      </c>
      <c r="Y2" s="6" t="s">
        <v>34</v>
      </c>
      <c r="Z2" s="6" t="s">
        <v>35</v>
      </c>
      <c r="AA2" s="6" t="s">
        <v>36</v>
      </c>
      <c r="AB2" s="6" t="s">
        <v>37</v>
      </c>
      <c r="AC2" s="6" t="s">
        <v>38</v>
      </c>
      <c r="AD2" s="6" t="s">
        <v>39</v>
      </c>
      <c r="AE2" s="6" t="s">
        <v>40</v>
      </c>
      <c r="AF2" s="6" t="s">
        <v>41</v>
      </c>
      <c r="AG2" s="11" t="s">
        <v>42</v>
      </c>
      <c r="AH2" s="11" t="s">
        <v>43</v>
      </c>
      <c r="AI2" s="11" t="s">
        <v>44</v>
      </c>
      <c r="AJ2" s="11" t="s">
        <v>45</v>
      </c>
      <c r="AK2" s="11" t="s">
        <v>46</v>
      </c>
      <c r="AL2" s="11" t="s">
        <v>47</v>
      </c>
      <c r="AM2" s="11" t="s">
        <v>48</v>
      </c>
      <c r="AN2" s="9" t="s">
        <v>49</v>
      </c>
      <c r="AO2" s="5" t="s">
        <v>50</v>
      </c>
      <c r="AP2" s="5" t="s">
        <v>51</v>
      </c>
      <c r="AQ2" s="5" t="s">
        <v>52</v>
      </c>
      <c r="AR2" s="6" t="s">
        <v>53</v>
      </c>
      <c r="AS2" s="6" t="s">
        <v>54</v>
      </c>
      <c r="AT2" s="11" t="s">
        <v>55</v>
      </c>
      <c r="AU2" s="11" t="s">
        <v>56</v>
      </c>
      <c r="AV2" s="11" t="s">
        <v>57</v>
      </c>
      <c r="AW2" s="11" t="s">
        <v>58</v>
      </c>
      <c r="AX2" s="11" t="s">
        <v>59</v>
      </c>
      <c r="AY2" s="8"/>
      <c r="AZ2" s="15"/>
      <c r="BA2" s="15"/>
    </row>
    <row r="3">
      <c r="A3" s="1" t="s">
        <v>60</v>
      </c>
      <c r="B3" s="16" t="s">
        <v>61</v>
      </c>
      <c r="C3" s="17" t="str">
        <f>IMAGE("https://drive.google.com/uc?export=view&amp;id=1JfDAvAaE1rIL4McPdY6qIwUyGyYuehhp", 4, 100, 100)</f>
        <v/>
      </c>
      <c r="D3" s="2" t="s">
        <v>62</v>
      </c>
      <c r="E3" s="2" t="s">
        <v>63</v>
      </c>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5"/>
      <c r="BA3" s="15"/>
    </row>
    <row r="4">
      <c r="A4" s="1" t="s">
        <v>64</v>
      </c>
      <c r="B4" s="16" t="s">
        <v>65</v>
      </c>
      <c r="C4" s="17" t="str">
        <f>IMAGE("https://drive.google.com/uc?export=view&amp;id=1J49Gfc4bVzKuvxGkpv8zv6guWvnnY3EA", 4, 100, 100)</f>
        <v/>
      </c>
      <c r="D4" s="2" t="s">
        <v>66</v>
      </c>
      <c r="E4" s="2" t="s">
        <v>67</v>
      </c>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5"/>
      <c r="BA4" s="15"/>
    </row>
    <row r="5" ht="193.5" customHeight="1">
      <c r="A5" s="1" t="s">
        <v>68</v>
      </c>
      <c r="B5" s="16" t="s">
        <v>69</v>
      </c>
      <c r="C5" s="17" t="str">
        <f>IMAGE("https://drive.google.com/uc?export=view&amp;id=1MXEcWSpl0gmzjGsPlEMoQtvPfqe0d_jr", 4, 100, 100)</f>
        <v/>
      </c>
      <c r="D5" s="2" t="s">
        <v>70</v>
      </c>
      <c r="E5" s="2" t="s">
        <v>71</v>
      </c>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5"/>
      <c r="BA5" s="15"/>
    </row>
    <row r="6">
      <c r="A6" s="1" t="s">
        <v>72</v>
      </c>
      <c r="B6" s="16" t="s">
        <v>73</v>
      </c>
      <c r="C6" s="17" t="str">
        <f>IMAGE("https://drive.google.com/uc?export=view&amp;id=1Ojazvc8xkFii9uqOHBl6y4Vihx433y5v", 4, 100, 100)</f>
        <v/>
      </c>
      <c r="D6" s="2" t="s">
        <v>74</v>
      </c>
      <c r="E6" s="2" t="s">
        <v>75</v>
      </c>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5"/>
      <c r="BA6" s="15"/>
    </row>
    <row r="7">
      <c r="A7" s="1" t="s">
        <v>76</v>
      </c>
      <c r="B7" s="16" t="s">
        <v>77</v>
      </c>
      <c r="C7" s="17" t="str">
        <f>IMAGE("https://drive.google.com/uc?export=view&amp;id=1yngs7LqTHvGIMbqZ4hcwG79ijEFgnPnk", 4, 100, 100)</f>
        <v/>
      </c>
      <c r="D7" s="2" t="s">
        <v>78</v>
      </c>
      <c r="E7" s="2" t="s">
        <v>79</v>
      </c>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5"/>
      <c r="BA7" s="15"/>
    </row>
    <row r="8">
      <c r="A8" s="1" t="s">
        <v>80</v>
      </c>
      <c r="B8" s="16" t="s">
        <v>81</v>
      </c>
      <c r="C8" s="17" t="str">
        <f>IMAGE("https://drive.google.com/uc?export=view&amp;id=1XduVUue6rnheAMdlVSEYV0_eFu0geikY", 4, 100, 100)</f>
        <v/>
      </c>
      <c r="D8" s="2" t="s">
        <v>82</v>
      </c>
      <c r="E8" s="2" t="s">
        <v>83</v>
      </c>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5"/>
      <c r="BA8" s="15"/>
    </row>
    <row r="9">
      <c r="A9" s="1" t="s">
        <v>84</v>
      </c>
      <c r="B9" s="16" t="s">
        <v>85</v>
      </c>
      <c r="C9" s="17" t="str">
        <f>IMAGE("https://drive.google.com/uc?export=view&amp;id=1-Xm53O1x22DSK1K9TYpva2sulz1oWVOa", 4, 100, 100)</f>
        <v/>
      </c>
      <c r="D9" s="2" t="s">
        <v>86</v>
      </c>
      <c r="E9" s="2" t="s">
        <v>87</v>
      </c>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5"/>
      <c r="BA9" s="15"/>
    </row>
    <row r="10">
      <c r="A10" s="1" t="s">
        <v>88</v>
      </c>
      <c r="B10" s="16" t="s">
        <v>89</v>
      </c>
      <c r="C10" s="17" t="str">
        <f>IMAGE("https://drive.google.com/uc?export=view&amp;id=1AKoQ-XoHxuN3UKw5aylfpyQpV97sQmO0", 4, 100, 100)</f>
        <v/>
      </c>
      <c r="D10" s="2" t="s">
        <v>90</v>
      </c>
      <c r="E10" s="2" t="s">
        <v>91</v>
      </c>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5"/>
      <c r="BA10" s="15"/>
    </row>
    <row r="11">
      <c r="A11" s="1" t="s">
        <v>92</v>
      </c>
      <c r="B11" s="16" t="s">
        <v>93</v>
      </c>
      <c r="C11" s="17" t="str">
        <f>IMAGE("https://drive.google.com/uc?export=view&amp;id=1Oza3KMMixd8mOEaWvtNzFsH-1Pr5dzqD", 4, 100, 100)</f>
        <v/>
      </c>
      <c r="D11" s="2" t="s">
        <v>94</v>
      </c>
      <c r="E11" s="2" t="s">
        <v>95</v>
      </c>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5"/>
      <c r="BA11" s="15"/>
    </row>
    <row r="12">
      <c r="A12" s="1" t="s">
        <v>96</v>
      </c>
      <c r="B12" s="16" t="s">
        <v>97</v>
      </c>
      <c r="C12" s="17" t="str">
        <f>IMAGE("https://drive.google.com/uc?export=view&amp;id=1Tvarsnfxg3ZicRhH_EuUxr7IryjTQtan", 4, 100, 100)</f>
        <v/>
      </c>
      <c r="D12" s="2" t="s">
        <v>98</v>
      </c>
      <c r="E12" s="2" t="s">
        <v>99</v>
      </c>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5"/>
      <c r="BA12" s="15"/>
    </row>
    <row r="13">
      <c r="A13" s="1" t="s">
        <v>100</v>
      </c>
      <c r="B13" s="16" t="s">
        <v>101</v>
      </c>
      <c r="C13" s="17" t="str">
        <f>IMAGE("https://drive.google.com/uc?export=view&amp;id=1EHae-Ca2CBMJdJuhDkP2spQhUDSyj10i", 4, 100, 100)</f>
        <v/>
      </c>
      <c r="D13" s="2" t="s">
        <v>102</v>
      </c>
      <c r="E13" s="2" t="s">
        <v>103</v>
      </c>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5"/>
      <c r="BA13" s="15"/>
    </row>
    <row r="14">
      <c r="A14" s="1" t="s">
        <v>104</v>
      </c>
      <c r="B14" s="16" t="s">
        <v>105</v>
      </c>
      <c r="C14" s="17" t="str">
        <f>IMAGE("https://drive.google.com/uc?export=view&amp;id=1k6ocBN2POcpbbuWgsadcrC99GfnEruXp", 4, 100, 100)</f>
        <v/>
      </c>
      <c r="D14" s="2" t="s">
        <v>106</v>
      </c>
      <c r="E14" s="2" t="s">
        <v>107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5"/>
      <c r="BA14" s="15"/>
    </row>
    <row r="15">
      <c r="A15" s="1" t="s">
        <v>108</v>
      </c>
      <c r="B15" s="16" t="s">
        <v>109</v>
      </c>
      <c r="C15" s="17" t="str">
        <f>IMAGE("https://drive.google.com/uc?export=view&amp;id=1fQ5fzHB40zNWUeTpYSybFMA2Dlrud6kE", 4, 100, 100)</f>
        <v/>
      </c>
      <c r="D15" s="2" t="s">
        <v>110</v>
      </c>
      <c r="E15" s="2" t="s">
        <v>111</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5"/>
      <c r="BA15" s="15"/>
    </row>
    <row r="16">
      <c r="A16" s="18" t="s">
        <v>112</v>
      </c>
      <c r="B16" s="19" t="s">
        <v>113</v>
      </c>
      <c r="C16" s="18" t="str">
        <f>IMAGE("https://drive.google.com/uc?export=view&amp;id=1PEmnXKGzEAE6R6ujZHg4395Yhnf2_hr1", 4, 100, 100)</f>
        <v/>
      </c>
      <c r="D16" s="18" t="s">
        <v>114</v>
      </c>
      <c r="E16" s="18" t="s">
        <v>115</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5"/>
      <c r="BA16" s="15"/>
    </row>
    <row r="17">
      <c r="A17" s="18" t="s">
        <v>116</v>
      </c>
      <c r="B17" s="19" t="s">
        <v>117</v>
      </c>
      <c r="C17" s="18" t="str">
        <f>IMAGE("https://drive.google.com/uc?export=view&amp;id=1WaMnz7zHb9TT-9HdnDTWqCipzP2WUDeC", 4, 100, 100)</f>
        <v/>
      </c>
      <c r="D17" s="18" t="s">
        <v>118</v>
      </c>
      <c r="E17" s="18" t="s">
        <v>119</v>
      </c>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5"/>
      <c r="BA17" s="15"/>
    </row>
    <row r="18">
      <c r="A18" s="18" t="s">
        <v>120</v>
      </c>
      <c r="B18" s="19" t="s">
        <v>121</v>
      </c>
      <c r="C18" s="18" t="str">
        <f>IMAGE("https://drive.google.com/uc?export=view&amp;id=1G2iVRAc-wwWShkVRL0AKNU-0VV6yeL3z", 4, 100, 100)</f>
        <v/>
      </c>
      <c r="D18" s="18" t="s">
        <v>122</v>
      </c>
      <c r="E18" s="18" t="s">
        <v>123</v>
      </c>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5"/>
      <c r="BA18" s="15"/>
    </row>
    <row r="19">
      <c r="A19" s="18" t="s">
        <v>124</v>
      </c>
      <c r="B19" s="19" t="s">
        <v>125</v>
      </c>
      <c r="C19" s="18" t="str">
        <f>IMAGE("https://drive.google.com/uc?export=view&amp;id=1zKhKTKuGvJnm9JXoxXWPPXwt4iaGy9me", 4, 100, 100)</f>
        <v/>
      </c>
      <c r="D19" s="18" t="s">
        <v>126</v>
      </c>
      <c r="E19" s="18" t="s">
        <v>127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5"/>
      <c r="BA19" s="15"/>
    </row>
    <row r="20">
      <c r="A20" s="18" t="s">
        <v>128</v>
      </c>
      <c r="B20" s="19" t="s">
        <v>129</v>
      </c>
      <c r="C20" s="18" t="str">
        <f>IMAGE("https://drive.google.com/uc?export=view&amp;id=1T-C7az6LA7d6ilR2-8OVVge6p-QGQKNb", 4, 100, 100)</f>
        <v/>
      </c>
      <c r="D20" s="18" t="s">
        <v>130</v>
      </c>
      <c r="E20" s="18" t="s">
        <v>131</v>
      </c>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5"/>
      <c r="BA20" s="15"/>
    </row>
    <row r="21">
      <c r="A21" s="18" t="s">
        <v>132</v>
      </c>
      <c r="B21" s="19" t="s">
        <v>133</v>
      </c>
      <c r="C21" s="18" t="str">
        <f>IMAGE("https://drive.google.com/uc?export=view&amp;id=1v3yqvG3AnzAIJ-27p1yyxsCi1gPz8qHw", 4, 100, 100)</f>
        <v/>
      </c>
      <c r="D21" s="18"/>
      <c r="E21" s="18" t="s">
        <v>134</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5"/>
      <c r="BA21" s="15"/>
    </row>
    <row r="22">
      <c r="A22" s="18" t="s">
        <v>135</v>
      </c>
      <c r="B22" s="19" t="s">
        <v>136</v>
      </c>
      <c r="C22" s="18" t="str">
        <f>IMAGE("https://drive.google.com/uc?export=view&amp;id=1MPK78hSHQF5tKdHs_OW6gKK0os6QzK3Z", 4, 100, 100)</f>
        <v/>
      </c>
      <c r="D22" s="18" t="s">
        <v>137</v>
      </c>
      <c r="E22" s="18" t="s">
        <v>138</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5"/>
      <c r="BA22" s="15"/>
    </row>
    <row r="23">
      <c r="A23" s="18" t="s">
        <v>139</v>
      </c>
      <c r="B23" s="19" t="s">
        <v>140</v>
      </c>
      <c r="C23" s="18" t="str">
        <f>IMAGE("https://drive.google.com/uc?export=view&amp;id=1hVIQ94OMOM0cxx7ZMFtTxfRGK9KOOO72", 4, 100, 100)</f>
        <v/>
      </c>
      <c r="D23" s="18" t="s">
        <v>141</v>
      </c>
      <c r="E23" s="18" t="s">
        <v>142</v>
      </c>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5"/>
      <c r="BA23" s="15"/>
    </row>
    <row r="24">
      <c r="A24" s="18" t="s">
        <v>143</v>
      </c>
      <c r="B24" s="19" t="s">
        <v>144</v>
      </c>
      <c r="C24" s="18" t="str">
        <f>IMAGE("https://drive.google.com/uc?export=view&amp;id=1MF18VZ3Gg0nqxVOr847-ZKeaHwh1f96A", 4, 100, 100)</f>
        <v/>
      </c>
      <c r="D24" s="18" t="s">
        <v>145</v>
      </c>
      <c r="E24" s="18" t="s">
        <v>146</v>
      </c>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5"/>
      <c r="BA24" s="15"/>
    </row>
    <row r="25">
      <c r="A25" s="18" t="s">
        <v>147</v>
      </c>
      <c r="B25" s="19" t="s">
        <v>148</v>
      </c>
      <c r="C25" s="18" t="str">
        <f>IMAGE("https://drive.google.com/uc?export=view&amp;id=10OJ0Pn5arPbG9i0iBMLNeYEeIfQqm59t", 4, 100, 100)</f>
        <v/>
      </c>
      <c r="D25" s="18" t="s">
        <v>149</v>
      </c>
      <c r="E25" s="18" t="s">
        <v>150</v>
      </c>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5"/>
      <c r="BA25" s="15"/>
    </row>
    <row r="26">
      <c r="A26" s="18" t="s">
        <v>151</v>
      </c>
      <c r="B26" s="19" t="s">
        <v>152</v>
      </c>
      <c r="C26" s="18" t="str">
        <f>IMAGE("https://drive.google.com/uc?export=view&amp;id=1Wziz8h0r6udpZ1wfItrx7JKtrM27M27S", 4, 100, 100)</f>
        <v/>
      </c>
      <c r="D26" s="18" t="s">
        <v>153</v>
      </c>
      <c r="E26" s="18" t="s">
        <v>154</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5"/>
      <c r="BA26" s="15"/>
    </row>
    <row r="27">
      <c r="A27" s="18" t="s">
        <v>155</v>
      </c>
      <c r="B27" s="19" t="s">
        <v>156</v>
      </c>
      <c r="C27" s="18" t="str">
        <f>IMAGE("https://drive.google.com/uc?export=view&amp;id=1L0VvmY8MKQMF9gNobEM7o68_AOovAHPb", 4, 100, 100)</f>
        <v/>
      </c>
      <c r="D27" s="18" t="s">
        <v>157</v>
      </c>
      <c r="E27" s="18" t="s">
        <v>158</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5"/>
      <c r="BA27" s="15"/>
    </row>
    <row r="28">
      <c r="A28" s="18" t="s">
        <v>159</v>
      </c>
      <c r="B28" s="19" t="s">
        <v>160</v>
      </c>
      <c r="C28" s="18" t="str">
        <f>IMAGE("https://drive.google.com/uc?export=view&amp;id=1IkVYI75k3Fli1oZOgVFA_Qnh4VjbZEoG", 4, 100, 100)</f>
        <v/>
      </c>
      <c r="D28" s="18" t="s">
        <v>161</v>
      </c>
      <c r="E28" s="18" t="s">
        <v>162</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5"/>
      <c r="BA28" s="15"/>
    </row>
    <row r="29">
      <c r="D29" s="20"/>
      <c r="E29" s="20"/>
    </row>
    <row r="30">
      <c r="D30" s="20"/>
      <c r="E30" s="20"/>
    </row>
    <row r="31">
      <c r="D31" s="20"/>
      <c r="E31" s="20"/>
    </row>
    <row r="32">
      <c r="D32" s="20"/>
      <c r="E32" s="20"/>
    </row>
    <row r="33">
      <c r="D33" s="20"/>
      <c r="E33" s="20"/>
    </row>
    <row r="34">
      <c r="D34" s="20"/>
      <c r="E34" s="20"/>
    </row>
    <row r="35">
      <c r="D35" s="20"/>
      <c r="E35" s="20"/>
    </row>
    <row r="36">
      <c r="D36" s="20"/>
      <c r="E36" s="20"/>
    </row>
    <row r="37">
      <c r="D37" s="20"/>
      <c r="E37" s="20"/>
    </row>
    <row r="38">
      <c r="D38" s="20"/>
      <c r="E38" s="20"/>
    </row>
    <row r="39">
      <c r="D39" s="20"/>
      <c r="E39" s="20"/>
    </row>
    <row r="40">
      <c r="D40" s="20"/>
      <c r="E40" s="20"/>
    </row>
    <row r="41">
      <c r="D41" s="20"/>
      <c r="E41" s="20"/>
    </row>
    <row r="42">
      <c r="D42" s="20"/>
      <c r="E42" s="20"/>
    </row>
    <row r="43">
      <c r="D43" s="20"/>
      <c r="E43" s="20"/>
    </row>
    <row r="44">
      <c r="D44" s="20"/>
      <c r="E44" s="20"/>
    </row>
    <row r="45">
      <c r="D45" s="20"/>
      <c r="E45" s="20"/>
    </row>
    <row r="46">
      <c r="D46" s="20"/>
      <c r="E46" s="20"/>
    </row>
    <row r="47">
      <c r="D47" s="20"/>
      <c r="E47" s="20"/>
    </row>
    <row r="48">
      <c r="D48" s="20"/>
      <c r="E48" s="20"/>
    </row>
    <row r="49">
      <c r="D49" s="20"/>
      <c r="E49" s="20"/>
    </row>
    <row r="50">
      <c r="D50" s="20"/>
      <c r="E50" s="20"/>
    </row>
    <row r="51">
      <c r="D51" s="20"/>
      <c r="E51" s="20"/>
    </row>
    <row r="52">
      <c r="D52" s="20"/>
      <c r="E52" s="20"/>
    </row>
    <row r="53">
      <c r="D53" s="20"/>
      <c r="E53" s="20"/>
    </row>
    <row r="54">
      <c r="D54" s="20"/>
      <c r="E54" s="20"/>
    </row>
    <row r="55">
      <c r="D55" s="20"/>
      <c r="E55" s="20"/>
    </row>
    <row r="56">
      <c r="D56" s="20"/>
      <c r="E56" s="20"/>
    </row>
    <row r="57">
      <c r="D57" s="20"/>
      <c r="E57" s="20"/>
    </row>
    <row r="58">
      <c r="D58" s="20"/>
      <c r="E58" s="20"/>
    </row>
    <row r="59">
      <c r="D59" s="20"/>
      <c r="E59" s="20"/>
    </row>
    <row r="60">
      <c r="D60" s="20"/>
      <c r="E60" s="20"/>
    </row>
    <row r="61">
      <c r="D61" s="20"/>
      <c r="E61" s="20"/>
    </row>
    <row r="62">
      <c r="D62" s="20"/>
      <c r="E62" s="20"/>
    </row>
    <row r="63">
      <c r="D63" s="20"/>
      <c r="E63" s="20"/>
    </row>
    <row r="64">
      <c r="D64" s="20"/>
      <c r="E64" s="20"/>
    </row>
    <row r="65">
      <c r="D65" s="20"/>
      <c r="E65" s="20"/>
    </row>
    <row r="66">
      <c r="D66" s="20"/>
      <c r="E66" s="20"/>
    </row>
    <row r="67">
      <c r="D67" s="20"/>
      <c r="E67" s="20"/>
    </row>
    <row r="68">
      <c r="D68" s="20"/>
      <c r="E68" s="20"/>
    </row>
    <row r="69">
      <c r="D69" s="20"/>
      <c r="E69" s="20"/>
    </row>
    <row r="70">
      <c r="D70" s="20"/>
      <c r="E70" s="20"/>
    </row>
    <row r="71">
      <c r="D71" s="20"/>
      <c r="E71" s="20"/>
    </row>
    <row r="72">
      <c r="D72" s="20"/>
      <c r="E72" s="20"/>
    </row>
    <row r="73">
      <c r="D73" s="20"/>
      <c r="E73" s="20"/>
    </row>
    <row r="74">
      <c r="D74" s="20"/>
      <c r="E74" s="20"/>
    </row>
    <row r="75">
      <c r="D75" s="20"/>
      <c r="E75" s="20"/>
    </row>
    <row r="76">
      <c r="D76" s="20"/>
      <c r="E76" s="20"/>
    </row>
    <row r="77">
      <c r="D77" s="20"/>
      <c r="E77" s="20"/>
    </row>
    <row r="78">
      <c r="D78" s="20"/>
      <c r="E78" s="20"/>
    </row>
    <row r="79">
      <c r="D79" s="20"/>
      <c r="E79" s="20"/>
    </row>
    <row r="80">
      <c r="D80" s="20"/>
      <c r="E80" s="20"/>
    </row>
    <row r="81">
      <c r="D81" s="20"/>
      <c r="E81" s="20"/>
    </row>
    <row r="82">
      <c r="D82" s="20"/>
      <c r="E82" s="20"/>
    </row>
    <row r="83">
      <c r="D83" s="20"/>
      <c r="E83" s="20"/>
    </row>
    <row r="84">
      <c r="D84" s="20"/>
      <c r="E84" s="20"/>
    </row>
    <row r="85">
      <c r="D85" s="20"/>
      <c r="E85" s="20"/>
    </row>
    <row r="86">
      <c r="D86" s="20"/>
      <c r="E86" s="20"/>
    </row>
    <row r="87">
      <c r="D87" s="20"/>
      <c r="E87" s="20"/>
    </row>
    <row r="88">
      <c r="D88" s="20"/>
      <c r="E88" s="20"/>
    </row>
    <row r="89">
      <c r="D89" s="20"/>
      <c r="E89" s="20"/>
    </row>
    <row r="90">
      <c r="D90" s="20"/>
      <c r="E90" s="20"/>
    </row>
    <row r="91">
      <c r="D91" s="20"/>
      <c r="E91" s="20"/>
    </row>
    <row r="92">
      <c r="D92" s="20"/>
      <c r="E92" s="20"/>
    </row>
    <row r="93">
      <c r="D93" s="20"/>
      <c r="E93" s="20"/>
    </row>
    <row r="94">
      <c r="D94" s="20"/>
      <c r="E94" s="20"/>
    </row>
    <row r="95">
      <c r="D95" s="20"/>
      <c r="E95" s="20"/>
    </row>
    <row r="96">
      <c r="D96" s="20"/>
      <c r="E96" s="20"/>
    </row>
    <row r="97">
      <c r="D97" s="20"/>
      <c r="E97" s="20"/>
    </row>
    <row r="98">
      <c r="D98" s="20"/>
      <c r="E98" s="20"/>
    </row>
    <row r="99">
      <c r="D99" s="20"/>
      <c r="E99" s="20"/>
    </row>
    <row r="100">
      <c r="D100" s="20"/>
      <c r="E100" s="20"/>
    </row>
    <row r="101">
      <c r="D101" s="20"/>
      <c r="E101" s="20"/>
    </row>
    <row r="102">
      <c r="D102" s="20"/>
      <c r="E102" s="20"/>
    </row>
    <row r="103">
      <c r="D103" s="20"/>
      <c r="E103" s="20"/>
    </row>
    <row r="104">
      <c r="D104" s="20"/>
      <c r="E104" s="20"/>
    </row>
    <row r="105">
      <c r="D105" s="20"/>
      <c r="E105" s="20"/>
    </row>
    <row r="106">
      <c r="D106" s="20"/>
      <c r="E106" s="20"/>
    </row>
    <row r="107">
      <c r="D107" s="20"/>
      <c r="E107" s="20"/>
    </row>
    <row r="108">
      <c r="D108" s="20"/>
      <c r="E108" s="20"/>
    </row>
    <row r="109">
      <c r="D109" s="20"/>
      <c r="E109" s="20"/>
    </row>
    <row r="110">
      <c r="D110" s="20"/>
      <c r="E110" s="20"/>
    </row>
    <row r="111">
      <c r="D111" s="20"/>
      <c r="E111" s="20"/>
    </row>
    <row r="112">
      <c r="D112" s="20"/>
      <c r="E112" s="20"/>
    </row>
    <row r="113">
      <c r="D113" s="20"/>
      <c r="E113" s="20"/>
    </row>
    <row r="114">
      <c r="D114" s="20"/>
      <c r="E114" s="20"/>
    </row>
    <row r="115">
      <c r="D115" s="20"/>
      <c r="E115" s="20"/>
    </row>
    <row r="116">
      <c r="D116" s="20"/>
      <c r="E116" s="20"/>
    </row>
    <row r="117">
      <c r="D117" s="20"/>
      <c r="E117" s="20"/>
    </row>
    <row r="118">
      <c r="D118" s="20"/>
      <c r="E118" s="20"/>
    </row>
    <row r="119">
      <c r="D119" s="20"/>
      <c r="E119" s="20"/>
    </row>
    <row r="120">
      <c r="D120" s="20"/>
      <c r="E120" s="20"/>
    </row>
    <row r="121">
      <c r="D121" s="20"/>
      <c r="E121" s="20"/>
    </row>
    <row r="122">
      <c r="D122" s="20"/>
      <c r="E122" s="20"/>
    </row>
    <row r="123">
      <c r="D123" s="20"/>
      <c r="E123" s="20"/>
    </row>
    <row r="124">
      <c r="D124" s="20"/>
      <c r="E124" s="20"/>
    </row>
    <row r="125">
      <c r="D125" s="20"/>
      <c r="E125" s="20"/>
    </row>
    <row r="126">
      <c r="D126" s="20"/>
      <c r="E126" s="20"/>
    </row>
    <row r="127">
      <c r="D127" s="20"/>
      <c r="E127" s="20"/>
    </row>
    <row r="128">
      <c r="D128" s="20"/>
      <c r="E128" s="20"/>
    </row>
    <row r="129">
      <c r="D129" s="20"/>
      <c r="E129" s="20"/>
    </row>
    <row r="130">
      <c r="D130" s="20"/>
      <c r="E130" s="20"/>
    </row>
    <row r="131">
      <c r="D131" s="20"/>
      <c r="E131" s="20"/>
    </row>
    <row r="132">
      <c r="D132" s="20"/>
      <c r="E132" s="20"/>
    </row>
    <row r="133">
      <c r="D133" s="20"/>
      <c r="E133" s="20"/>
    </row>
    <row r="134">
      <c r="D134" s="20"/>
      <c r="E134" s="20"/>
    </row>
    <row r="135">
      <c r="D135" s="20"/>
      <c r="E135" s="20"/>
    </row>
    <row r="136">
      <c r="D136" s="20"/>
      <c r="E136" s="20"/>
    </row>
    <row r="137">
      <c r="D137" s="20"/>
      <c r="E137" s="20"/>
    </row>
    <row r="138">
      <c r="D138" s="20"/>
      <c r="E138" s="20"/>
    </row>
    <row r="139">
      <c r="D139" s="20"/>
      <c r="E139" s="20"/>
    </row>
    <row r="140">
      <c r="D140" s="20"/>
      <c r="E140" s="20"/>
    </row>
    <row r="141">
      <c r="D141" s="20"/>
      <c r="E141" s="20"/>
    </row>
    <row r="142">
      <c r="D142" s="20"/>
      <c r="E142" s="20"/>
    </row>
    <row r="143">
      <c r="D143" s="20"/>
      <c r="E143" s="20"/>
    </row>
    <row r="144">
      <c r="D144" s="20"/>
      <c r="E144" s="20"/>
    </row>
    <row r="145">
      <c r="D145" s="20"/>
      <c r="E145" s="20"/>
    </row>
    <row r="146">
      <c r="D146" s="20"/>
      <c r="E146" s="20"/>
    </row>
    <row r="147">
      <c r="D147" s="20"/>
      <c r="E147" s="20"/>
    </row>
    <row r="148">
      <c r="D148" s="20"/>
      <c r="E148" s="20"/>
    </row>
    <row r="149">
      <c r="D149" s="20"/>
      <c r="E149" s="20"/>
    </row>
    <row r="150">
      <c r="D150" s="20"/>
      <c r="E150" s="20"/>
    </row>
    <row r="151">
      <c r="D151" s="20"/>
      <c r="E151" s="20"/>
    </row>
    <row r="152">
      <c r="D152" s="20"/>
      <c r="E152" s="20"/>
    </row>
    <row r="153">
      <c r="D153" s="20"/>
      <c r="E153" s="20"/>
    </row>
    <row r="154">
      <c r="D154" s="20"/>
      <c r="E154" s="20"/>
    </row>
    <row r="155">
      <c r="D155" s="20"/>
      <c r="E155" s="20"/>
    </row>
    <row r="156">
      <c r="D156" s="20"/>
      <c r="E156" s="20"/>
    </row>
    <row r="157">
      <c r="D157" s="20"/>
      <c r="E157" s="20"/>
    </row>
    <row r="158">
      <c r="D158" s="20"/>
      <c r="E158" s="20"/>
    </row>
    <row r="159">
      <c r="D159" s="20"/>
      <c r="E159" s="20"/>
    </row>
    <row r="160">
      <c r="D160" s="20"/>
      <c r="E160" s="20"/>
    </row>
    <row r="161">
      <c r="D161" s="20"/>
      <c r="E161" s="20"/>
    </row>
    <row r="162">
      <c r="D162" s="20"/>
      <c r="E162" s="20"/>
    </row>
    <row r="163">
      <c r="D163" s="20"/>
      <c r="E163" s="20"/>
    </row>
    <row r="164">
      <c r="D164" s="20"/>
      <c r="E164" s="20"/>
    </row>
    <row r="165">
      <c r="D165" s="20"/>
      <c r="E165" s="20"/>
    </row>
    <row r="166">
      <c r="D166" s="20"/>
      <c r="E166" s="20"/>
    </row>
    <row r="167">
      <c r="D167" s="20"/>
      <c r="E167" s="20"/>
    </row>
    <row r="168">
      <c r="D168" s="20"/>
      <c r="E168" s="20"/>
    </row>
    <row r="169">
      <c r="D169" s="20"/>
      <c r="E169" s="20"/>
    </row>
    <row r="170">
      <c r="D170" s="20"/>
      <c r="E170" s="20"/>
    </row>
    <row r="171">
      <c r="D171" s="20"/>
      <c r="E171" s="20"/>
    </row>
    <row r="172">
      <c r="D172" s="20"/>
      <c r="E172" s="20"/>
    </row>
    <row r="173">
      <c r="D173" s="20"/>
      <c r="E173" s="20"/>
    </row>
    <row r="174">
      <c r="D174" s="20"/>
      <c r="E174" s="20"/>
    </row>
    <row r="175">
      <c r="D175" s="20"/>
      <c r="E175" s="20"/>
    </row>
    <row r="176">
      <c r="D176" s="20"/>
      <c r="E176" s="20"/>
    </row>
    <row r="177">
      <c r="D177" s="20"/>
      <c r="E177" s="20"/>
    </row>
    <row r="178">
      <c r="D178" s="20"/>
      <c r="E178" s="20"/>
    </row>
    <row r="179">
      <c r="D179" s="20"/>
      <c r="E179" s="20"/>
    </row>
    <row r="180">
      <c r="D180" s="20"/>
      <c r="E180" s="20"/>
    </row>
    <row r="181">
      <c r="D181" s="20"/>
      <c r="E181" s="20"/>
    </row>
    <row r="182">
      <c r="D182" s="20"/>
      <c r="E182" s="20"/>
    </row>
    <row r="183">
      <c r="D183" s="20"/>
      <c r="E183" s="20"/>
    </row>
    <row r="184">
      <c r="D184" s="20"/>
      <c r="E184" s="20"/>
    </row>
    <row r="185">
      <c r="D185" s="20"/>
      <c r="E185" s="20"/>
    </row>
    <row r="186">
      <c r="D186" s="20"/>
      <c r="E186" s="20"/>
    </row>
    <row r="187">
      <c r="D187" s="20"/>
      <c r="E187" s="20"/>
    </row>
    <row r="188">
      <c r="D188" s="20"/>
      <c r="E188" s="20"/>
    </row>
    <row r="189">
      <c r="D189" s="20"/>
      <c r="E189" s="20"/>
    </row>
    <row r="190">
      <c r="D190" s="20"/>
      <c r="E190" s="20"/>
    </row>
    <row r="191">
      <c r="D191" s="20"/>
      <c r="E191" s="20"/>
    </row>
    <row r="192">
      <c r="D192" s="20"/>
      <c r="E192" s="20"/>
    </row>
    <row r="193">
      <c r="D193" s="20"/>
      <c r="E193" s="20"/>
    </row>
    <row r="194">
      <c r="D194" s="20"/>
      <c r="E194" s="20"/>
    </row>
    <row r="195">
      <c r="D195" s="20"/>
      <c r="E195" s="20"/>
    </row>
    <row r="196">
      <c r="D196" s="20"/>
      <c r="E196" s="20"/>
    </row>
    <row r="197">
      <c r="D197" s="20"/>
      <c r="E197" s="20"/>
    </row>
    <row r="198">
      <c r="D198" s="20"/>
      <c r="E198" s="20"/>
    </row>
    <row r="199">
      <c r="D199" s="20"/>
      <c r="E199" s="20"/>
    </row>
    <row r="200">
      <c r="D200" s="20"/>
      <c r="E200" s="20"/>
    </row>
    <row r="201">
      <c r="D201" s="20"/>
      <c r="E201" s="20"/>
    </row>
    <row r="202">
      <c r="D202" s="20"/>
      <c r="E202" s="20"/>
    </row>
    <row r="203">
      <c r="D203" s="20"/>
      <c r="E203" s="20"/>
    </row>
    <row r="204">
      <c r="D204" s="20"/>
      <c r="E204" s="20"/>
    </row>
    <row r="205">
      <c r="D205" s="20"/>
      <c r="E205" s="20"/>
    </row>
    <row r="206">
      <c r="D206" s="20"/>
      <c r="E206" s="20"/>
    </row>
    <row r="207">
      <c r="D207" s="20"/>
      <c r="E207" s="20"/>
    </row>
    <row r="208">
      <c r="D208" s="20"/>
      <c r="E208" s="20"/>
    </row>
    <row r="209">
      <c r="D209" s="20"/>
      <c r="E209" s="20"/>
    </row>
    <row r="210">
      <c r="D210" s="20"/>
      <c r="E210" s="20"/>
    </row>
    <row r="211">
      <c r="D211" s="20"/>
      <c r="E211" s="20"/>
    </row>
    <row r="212">
      <c r="D212" s="20"/>
      <c r="E212" s="20"/>
    </row>
    <row r="213">
      <c r="D213" s="20"/>
      <c r="E213" s="20"/>
    </row>
    <row r="214">
      <c r="D214" s="20"/>
      <c r="E214" s="20"/>
    </row>
    <row r="215">
      <c r="D215" s="20"/>
      <c r="E215" s="20"/>
    </row>
    <row r="216">
      <c r="D216" s="20"/>
      <c r="E216" s="20"/>
    </row>
    <row r="217">
      <c r="D217" s="20"/>
      <c r="E217" s="20"/>
    </row>
    <row r="218">
      <c r="D218" s="20"/>
      <c r="E218" s="20"/>
    </row>
    <row r="219">
      <c r="D219" s="20"/>
      <c r="E219" s="20"/>
    </row>
    <row r="220">
      <c r="D220" s="20"/>
      <c r="E220" s="20"/>
    </row>
    <row r="221">
      <c r="D221" s="20"/>
      <c r="E221" s="20"/>
    </row>
    <row r="222">
      <c r="D222" s="20"/>
      <c r="E222" s="20"/>
    </row>
    <row r="223">
      <c r="D223" s="20"/>
      <c r="E223" s="20"/>
    </row>
    <row r="224">
      <c r="D224" s="20"/>
      <c r="E224" s="20"/>
    </row>
    <row r="225">
      <c r="D225" s="20"/>
      <c r="E225" s="20"/>
    </row>
    <row r="226">
      <c r="D226" s="20"/>
      <c r="E226" s="20"/>
    </row>
    <row r="227">
      <c r="D227" s="20"/>
      <c r="E227" s="20"/>
    </row>
    <row r="228">
      <c r="D228" s="20"/>
      <c r="E228" s="20"/>
    </row>
    <row r="229">
      <c r="D229" s="20"/>
      <c r="E229" s="20"/>
    </row>
    <row r="230">
      <c r="D230" s="20"/>
      <c r="E230" s="20"/>
    </row>
    <row r="231">
      <c r="D231" s="20"/>
      <c r="E231" s="20"/>
    </row>
    <row r="232">
      <c r="D232" s="20"/>
      <c r="E232" s="20"/>
    </row>
    <row r="233">
      <c r="D233" s="20"/>
      <c r="E233" s="20"/>
    </row>
    <row r="234">
      <c r="D234" s="20"/>
      <c r="E234" s="20"/>
    </row>
    <row r="235">
      <c r="D235" s="20"/>
      <c r="E235" s="20"/>
    </row>
    <row r="236">
      <c r="D236" s="20"/>
      <c r="E236" s="20"/>
    </row>
    <row r="237">
      <c r="D237" s="20"/>
      <c r="E237" s="20"/>
    </row>
    <row r="238">
      <c r="D238" s="20"/>
      <c r="E238" s="20"/>
    </row>
    <row r="239">
      <c r="D239" s="20"/>
      <c r="E239" s="20"/>
    </row>
    <row r="240">
      <c r="D240" s="20"/>
      <c r="E240" s="20"/>
    </row>
    <row r="241">
      <c r="D241" s="20"/>
      <c r="E241" s="20"/>
    </row>
    <row r="242">
      <c r="D242" s="20"/>
      <c r="E242" s="20"/>
    </row>
    <row r="243">
      <c r="D243" s="20"/>
      <c r="E243" s="20"/>
    </row>
    <row r="244">
      <c r="D244" s="20"/>
      <c r="E244" s="20"/>
    </row>
    <row r="245">
      <c r="D245" s="20"/>
      <c r="E245" s="20"/>
    </row>
    <row r="246">
      <c r="D246" s="20"/>
      <c r="E246" s="20"/>
    </row>
    <row r="247">
      <c r="D247" s="20"/>
      <c r="E247" s="20"/>
    </row>
    <row r="248">
      <c r="D248" s="20"/>
      <c r="E248" s="20"/>
    </row>
    <row r="249">
      <c r="D249" s="20"/>
      <c r="E249" s="20"/>
    </row>
    <row r="250">
      <c r="D250" s="20"/>
      <c r="E250" s="20"/>
    </row>
    <row r="251">
      <c r="D251" s="20"/>
      <c r="E251" s="20"/>
    </row>
    <row r="252">
      <c r="D252" s="20"/>
      <c r="E252" s="20"/>
    </row>
    <row r="253">
      <c r="D253" s="20"/>
      <c r="E253" s="20"/>
    </row>
    <row r="254">
      <c r="D254" s="20"/>
      <c r="E254" s="20"/>
    </row>
    <row r="255">
      <c r="D255" s="20"/>
      <c r="E255" s="20"/>
    </row>
    <row r="256">
      <c r="D256" s="20"/>
      <c r="E256" s="20"/>
    </row>
    <row r="257">
      <c r="D257" s="20"/>
      <c r="E257" s="20"/>
    </row>
    <row r="258">
      <c r="D258" s="20"/>
      <c r="E258" s="20"/>
    </row>
    <row r="259">
      <c r="D259" s="20"/>
      <c r="E259" s="20"/>
    </row>
    <row r="260">
      <c r="D260" s="20"/>
      <c r="E260" s="20"/>
    </row>
    <row r="261">
      <c r="D261" s="20"/>
      <c r="E261" s="20"/>
    </row>
    <row r="262">
      <c r="D262" s="20"/>
      <c r="E262" s="20"/>
    </row>
    <row r="263">
      <c r="D263" s="20"/>
      <c r="E263" s="20"/>
    </row>
    <row r="264">
      <c r="D264" s="20"/>
      <c r="E264" s="20"/>
    </row>
    <row r="265">
      <c r="D265" s="20"/>
      <c r="E265" s="20"/>
    </row>
    <row r="266">
      <c r="D266" s="20"/>
      <c r="E266" s="20"/>
    </row>
    <row r="267">
      <c r="D267" s="20"/>
      <c r="E267" s="20"/>
    </row>
    <row r="268">
      <c r="D268" s="20"/>
      <c r="E268" s="20"/>
    </row>
    <row r="269">
      <c r="D269" s="20"/>
      <c r="E269" s="20"/>
    </row>
    <row r="270">
      <c r="D270" s="20"/>
      <c r="E270" s="20"/>
    </row>
    <row r="271">
      <c r="D271" s="20"/>
      <c r="E271" s="20"/>
    </row>
    <row r="272">
      <c r="D272" s="20"/>
      <c r="E272" s="20"/>
    </row>
    <row r="273">
      <c r="D273" s="20"/>
      <c r="E273" s="20"/>
    </row>
    <row r="274">
      <c r="D274" s="20"/>
      <c r="E274" s="20"/>
    </row>
    <row r="275">
      <c r="D275" s="20"/>
      <c r="E275" s="20"/>
    </row>
    <row r="276">
      <c r="D276" s="20"/>
      <c r="E276" s="20"/>
    </row>
    <row r="277">
      <c r="D277" s="20"/>
      <c r="E277" s="20"/>
    </row>
    <row r="278">
      <c r="D278" s="20"/>
      <c r="E278" s="20"/>
    </row>
    <row r="279">
      <c r="D279" s="20"/>
      <c r="E279" s="20"/>
    </row>
    <row r="280">
      <c r="D280" s="20"/>
      <c r="E280" s="20"/>
    </row>
    <row r="281">
      <c r="D281" s="20"/>
      <c r="E281" s="20"/>
    </row>
    <row r="282">
      <c r="D282" s="20"/>
      <c r="E282" s="20"/>
    </row>
    <row r="283">
      <c r="D283" s="20"/>
      <c r="E283" s="20"/>
    </row>
    <row r="284">
      <c r="D284" s="20"/>
      <c r="E284" s="20"/>
    </row>
    <row r="285">
      <c r="D285" s="20"/>
      <c r="E285" s="20"/>
    </row>
    <row r="286">
      <c r="D286" s="20"/>
      <c r="E286" s="20"/>
    </row>
    <row r="287">
      <c r="D287" s="20"/>
      <c r="E287" s="20"/>
    </row>
    <row r="288">
      <c r="D288" s="20"/>
      <c r="E288" s="20"/>
    </row>
    <row r="289">
      <c r="D289" s="20"/>
      <c r="E289" s="20"/>
    </row>
    <row r="290">
      <c r="D290" s="20"/>
      <c r="E290" s="20"/>
    </row>
    <row r="291">
      <c r="D291" s="20"/>
      <c r="E291" s="20"/>
    </row>
    <row r="292">
      <c r="D292" s="20"/>
      <c r="E292" s="20"/>
    </row>
    <row r="293">
      <c r="D293" s="20"/>
      <c r="E293" s="20"/>
    </row>
    <row r="294">
      <c r="D294" s="20"/>
      <c r="E294" s="20"/>
    </row>
    <row r="295">
      <c r="D295" s="20"/>
      <c r="E295" s="20"/>
    </row>
    <row r="296">
      <c r="D296" s="20"/>
      <c r="E296" s="20"/>
    </row>
    <row r="297">
      <c r="D297" s="20"/>
      <c r="E297" s="20"/>
    </row>
    <row r="298">
      <c r="D298" s="20"/>
      <c r="E298" s="20"/>
    </row>
    <row r="299">
      <c r="D299" s="20"/>
      <c r="E299" s="20"/>
    </row>
    <row r="300">
      <c r="D300" s="20"/>
      <c r="E300" s="20"/>
    </row>
    <row r="301">
      <c r="D301" s="20"/>
      <c r="E301" s="20"/>
    </row>
    <row r="302">
      <c r="D302" s="20"/>
      <c r="E302" s="20"/>
    </row>
    <row r="303">
      <c r="D303" s="20"/>
      <c r="E303" s="20"/>
    </row>
    <row r="304">
      <c r="D304" s="20"/>
      <c r="E304" s="20"/>
    </row>
    <row r="305">
      <c r="D305" s="20"/>
      <c r="E305" s="20"/>
    </row>
    <row r="306">
      <c r="D306" s="20"/>
      <c r="E306" s="20"/>
    </row>
    <row r="307">
      <c r="D307" s="20"/>
      <c r="E307" s="20"/>
    </row>
    <row r="308">
      <c r="D308" s="20"/>
      <c r="E308" s="20"/>
    </row>
    <row r="309">
      <c r="D309" s="20"/>
      <c r="E309" s="20"/>
    </row>
    <row r="310">
      <c r="D310" s="20"/>
      <c r="E310" s="20"/>
    </row>
    <row r="311">
      <c r="D311" s="20"/>
      <c r="E311" s="20"/>
    </row>
    <row r="312">
      <c r="D312" s="20"/>
      <c r="E312" s="20"/>
    </row>
    <row r="313">
      <c r="D313" s="20"/>
      <c r="E313" s="20"/>
    </row>
    <row r="314">
      <c r="D314" s="20"/>
      <c r="E314" s="20"/>
    </row>
    <row r="315">
      <c r="D315" s="20"/>
      <c r="E315" s="20"/>
    </row>
    <row r="316">
      <c r="D316" s="20"/>
      <c r="E316" s="20"/>
    </row>
    <row r="317">
      <c r="D317" s="20"/>
      <c r="E317" s="20"/>
    </row>
    <row r="318">
      <c r="D318" s="20"/>
      <c r="E318" s="20"/>
    </row>
    <row r="319">
      <c r="D319" s="20"/>
      <c r="E319" s="20"/>
    </row>
    <row r="320">
      <c r="D320" s="20"/>
      <c r="E320" s="20"/>
    </row>
    <row r="321">
      <c r="D321" s="20"/>
      <c r="E321" s="20"/>
    </row>
    <row r="322">
      <c r="D322" s="20"/>
      <c r="E322" s="20"/>
    </row>
    <row r="323">
      <c r="D323" s="20"/>
      <c r="E323" s="20"/>
    </row>
    <row r="324">
      <c r="D324" s="20"/>
      <c r="E324" s="20"/>
    </row>
    <row r="325">
      <c r="D325" s="20"/>
      <c r="E325" s="20"/>
    </row>
    <row r="326">
      <c r="D326" s="20"/>
      <c r="E326" s="20"/>
    </row>
    <row r="327">
      <c r="D327" s="20"/>
      <c r="E327" s="20"/>
    </row>
    <row r="328">
      <c r="D328" s="20"/>
      <c r="E328" s="20"/>
    </row>
    <row r="329">
      <c r="D329" s="20"/>
      <c r="E329" s="20"/>
    </row>
    <row r="330">
      <c r="D330" s="20"/>
      <c r="E330" s="20"/>
    </row>
    <row r="331">
      <c r="D331" s="20"/>
      <c r="E331" s="20"/>
    </row>
    <row r="332">
      <c r="D332" s="20"/>
      <c r="E332" s="20"/>
    </row>
    <row r="333">
      <c r="D333" s="20"/>
      <c r="E333" s="20"/>
    </row>
    <row r="334">
      <c r="D334" s="20"/>
      <c r="E334" s="20"/>
    </row>
    <row r="335">
      <c r="D335" s="20"/>
      <c r="E335" s="20"/>
    </row>
    <row r="336">
      <c r="D336" s="20"/>
      <c r="E336" s="20"/>
    </row>
    <row r="337">
      <c r="D337" s="20"/>
      <c r="E337" s="20"/>
    </row>
    <row r="338">
      <c r="D338" s="20"/>
      <c r="E338" s="20"/>
    </row>
    <row r="339">
      <c r="D339" s="20"/>
      <c r="E339" s="20"/>
    </row>
    <row r="340">
      <c r="D340" s="20"/>
      <c r="E340" s="20"/>
    </row>
    <row r="341">
      <c r="D341" s="20"/>
      <c r="E341" s="20"/>
    </row>
    <row r="342">
      <c r="D342" s="20"/>
      <c r="E342" s="20"/>
    </row>
    <row r="343">
      <c r="D343" s="20"/>
      <c r="E343" s="20"/>
    </row>
    <row r="344">
      <c r="D344" s="20"/>
      <c r="E344" s="20"/>
    </row>
    <row r="345">
      <c r="D345" s="20"/>
      <c r="E345" s="20"/>
    </row>
    <row r="346">
      <c r="D346" s="20"/>
      <c r="E346" s="20"/>
    </row>
    <row r="347">
      <c r="D347" s="20"/>
      <c r="E347" s="20"/>
    </row>
    <row r="348">
      <c r="D348" s="20"/>
      <c r="E348" s="20"/>
    </row>
    <row r="349">
      <c r="D349" s="20"/>
      <c r="E349" s="20"/>
    </row>
    <row r="350">
      <c r="D350" s="20"/>
      <c r="E350" s="20"/>
    </row>
    <row r="351">
      <c r="D351" s="20"/>
      <c r="E351" s="20"/>
    </row>
    <row r="352">
      <c r="D352" s="20"/>
      <c r="E352" s="20"/>
    </row>
    <row r="353">
      <c r="D353" s="20"/>
      <c r="E353" s="20"/>
    </row>
    <row r="354">
      <c r="D354" s="20"/>
      <c r="E354" s="20"/>
    </row>
    <row r="355">
      <c r="D355" s="20"/>
      <c r="E355" s="20"/>
    </row>
    <row r="356">
      <c r="D356" s="20"/>
      <c r="E356" s="20"/>
    </row>
    <row r="357">
      <c r="D357" s="20"/>
      <c r="E357" s="20"/>
    </row>
    <row r="358">
      <c r="D358" s="20"/>
      <c r="E358" s="20"/>
    </row>
    <row r="359">
      <c r="D359" s="20"/>
      <c r="E359" s="20"/>
    </row>
    <row r="360">
      <c r="D360" s="20"/>
      <c r="E360" s="20"/>
    </row>
    <row r="361">
      <c r="D361" s="20"/>
      <c r="E361" s="20"/>
    </row>
    <row r="362">
      <c r="D362" s="20"/>
      <c r="E362" s="20"/>
    </row>
    <row r="363">
      <c r="D363" s="20"/>
      <c r="E363" s="20"/>
    </row>
    <row r="364">
      <c r="D364" s="20"/>
      <c r="E364" s="20"/>
    </row>
    <row r="365">
      <c r="D365" s="20"/>
      <c r="E365" s="20"/>
    </row>
    <row r="366">
      <c r="D366" s="20"/>
      <c r="E366" s="20"/>
    </row>
    <row r="367">
      <c r="D367" s="20"/>
      <c r="E367" s="20"/>
    </row>
    <row r="368">
      <c r="D368" s="20"/>
      <c r="E368" s="20"/>
    </row>
    <row r="369">
      <c r="D369" s="20"/>
      <c r="E369" s="20"/>
    </row>
    <row r="370">
      <c r="D370" s="20"/>
      <c r="E370" s="20"/>
    </row>
    <row r="371">
      <c r="D371" s="20"/>
      <c r="E371" s="20"/>
    </row>
    <row r="372">
      <c r="D372" s="20"/>
      <c r="E372" s="20"/>
    </row>
    <row r="373">
      <c r="D373" s="20"/>
      <c r="E373" s="20"/>
    </row>
    <row r="374">
      <c r="D374" s="20"/>
      <c r="E374" s="20"/>
    </row>
    <row r="375">
      <c r="D375" s="20"/>
      <c r="E375" s="20"/>
    </row>
    <row r="376">
      <c r="D376" s="20"/>
      <c r="E376" s="20"/>
    </row>
    <row r="377">
      <c r="D377" s="20"/>
      <c r="E377" s="20"/>
    </row>
    <row r="378">
      <c r="D378" s="20"/>
      <c r="E378" s="20"/>
    </row>
    <row r="379">
      <c r="D379" s="20"/>
      <c r="E379" s="20"/>
    </row>
    <row r="380">
      <c r="D380" s="20"/>
      <c r="E380" s="20"/>
    </row>
    <row r="381">
      <c r="D381" s="20"/>
      <c r="E381" s="20"/>
    </row>
    <row r="382">
      <c r="D382" s="20"/>
      <c r="E382" s="20"/>
    </row>
    <row r="383">
      <c r="D383" s="20"/>
      <c r="E383" s="20"/>
    </row>
    <row r="384">
      <c r="D384" s="20"/>
      <c r="E384" s="20"/>
    </row>
    <row r="385">
      <c r="D385" s="20"/>
      <c r="E385" s="20"/>
    </row>
    <row r="386">
      <c r="D386" s="20"/>
      <c r="E386" s="20"/>
    </row>
    <row r="387">
      <c r="D387" s="20"/>
      <c r="E387" s="20"/>
    </row>
    <row r="388">
      <c r="D388" s="20"/>
      <c r="E388" s="20"/>
    </row>
    <row r="389">
      <c r="D389" s="20"/>
      <c r="E389" s="20"/>
    </row>
    <row r="390">
      <c r="D390" s="20"/>
      <c r="E390" s="20"/>
    </row>
    <row r="391">
      <c r="D391" s="20"/>
      <c r="E391" s="20"/>
    </row>
    <row r="392">
      <c r="D392" s="20"/>
      <c r="E392" s="20"/>
    </row>
    <row r="393">
      <c r="D393" s="20"/>
      <c r="E393" s="20"/>
    </row>
    <row r="394">
      <c r="D394" s="20"/>
      <c r="E394" s="20"/>
    </row>
    <row r="395">
      <c r="D395" s="20"/>
      <c r="E395" s="20"/>
    </row>
    <row r="396">
      <c r="D396" s="20"/>
      <c r="E396" s="20"/>
    </row>
    <row r="397">
      <c r="D397" s="20"/>
      <c r="E397" s="20"/>
    </row>
    <row r="398">
      <c r="D398" s="20"/>
      <c r="E398" s="20"/>
    </row>
    <row r="399">
      <c r="D399" s="20"/>
      <c r="E399" s="20"/>
    </row>
    <row r="400">
      <c r="D400" s="20"/>
      <c r="E400" s="20"/>
    </row>
    <row r="401">
      <c r="D401" s="20"/>
      <c r="E401" s="20"/>
    </row>
    <row r="402">
      <c r="D402" s="20"/>
      <c r="E402" s="20"/>
    </row>
    <row r="403">
      <c r="D403" s="20"/>
      <c r="E403" s="20"/>
    </row>
    <row r="404">
      <c r="D404" s="20"/>
      <c r="E404" s="20"/>
    </row>
    <row r="405">
      <c r="D405" s="20"/>
      <c r="E405" s="20"/>
    </row>
    <row r="406">
      <c r="D406" s="20"/>
      <c r="E406" s="20"/>
    </row>
    <row r="407">
      <c r="D407" s="20"/>
      <c r="E407" s="20"/>
    </row>
    <row r="408">
      <c r="D408" s="20"/>
      <c r="E408" s="20"/>
    </row>
    <row r="409">
      <c r="D409" s="20"/>
      <c r="E409" s="20"/>
    </row>
    <row r="410">
      <c r="D410" s="20"/>
      <c r="E410" s="20"/>
    </row>
    <row r="411">
      <c r="D411" s="20"/>
      <c r="E411" s="20"/>
    </row>
    <row r="412">
      <c r="D412" s="20"/>
      <c r="E412" s="20"/>
    </row>
    <row r="413">
      <c r="D413" s="20"/>
      <c r="E413" s="20"/>
    </row>
    <row r="414">
      <c r="D414" s="20"/>
      <c r="E414" s="20"/>
    </row>
    <row r="415">
      <c r="D415" s="20"/>
      <c r="E415" s="20"/>
    </row>
    <row r="416">
      <c r="D416" s="20"/>
      <c r="E416" s="20"/>
    </row>
    <row r="417">
      <c r="D417" s="20"/>
      <c r="E417" s="20"/>
    </row>
    <row r="418">
      <c r="D418" s="20"/>
      <c r="E418" s="20"/>
    </row>
    <row r="419">
      <c r="D419" s="20"/>
      <c r="E419" s="20"/>
    </row>
    <row r="420">
      <c r="D420" s="20"/>
      <c r="E420" s="20"/>
    </row>
    <row r="421">
      <c r="D421" s="20"/>
      <c r="E421" s="20"/>
    </row>
    <row r="422">
      <c r="D422" s="20"/>
      <c r="E422" s="20"/>
    </row>
    <row r="423">
      <c r="D423" s="20"/>
      <c r="E423" s="20"/>
    </row>
    <row r="424">
      <c r="D424" s="20"/>
      <c r="E424" s="20"/>
    </row>
    <row r="425">
      <c r="D425" s="20"/>
      <c r="E425" s="20"/>
    </row>
    <row r="426">
      <c r="D426" s="20"/>
      <c r="E426" s="20"/>
    </row>
    <row r="427">
      <c r="D427" s="20"/>
      <c r="E427" s="20"/>
    </row>
    <row r="428">
      <c r="D428" s="20"/>
      <c r="E428" s="20"/>
    </row>
    <row r="429">
      <c r="D429" s="20"/>
      <c r="E429" s="20"/>
    </row>
    <row r="430">
      <c r="D430" s="20"/>
      <c r="E430" s="20"/>
    </row>
    <row r="431">
      <c r="D431" s="20"/>
      <c r="E431" s="20"/>
    </row>
    <row r="432">
      <c r="D432" s="20"/>
      <c r="E432" s="20"/>
    </row>
    <row r="433">
      <c r="D433" s="20"/>
      <c r="E433" s="20"/>
    </row>
    <row r="434">
      <c r="D434" s="20"/>
      <c r="E434" s="20"/>
    </row>
    <row r="435">
      <c r="D435" s="20"/>
      <c r="E435" s="20"/>
    </row>
    <row r="436">
      <c r="D436" s="20"/>
      <c r="E436" s="20"/>
    </row>
    <row r="437">
      <c r="D437" s="20"/>
      <c r="E437" s="20"/>
    </row>
    <row r="438">
      <c r="D438" s="20"/>
      <c r="E438" s="20"/>
    </row>
    <row r="439">
      <c r="D439" s="20"/>
      <c r="E439" s="20"/>
    </row>
    <row r="440">
      <c r="D440" s="20"/>
      <c r="E440" s="20"/>
    </row>
    <row r="441">
      <c r="D441" s="20"/>
      <c r="E441" s="20"/>
    </row>
    <row r="442">
      <c r="D442" s="20"/>
      <c r="E442" s="20"/>
    </row>
    <row r="443">
      <c r="D443" s="20"/>
      <c r="E443" s="20"/>
    </row>
    <row r="444">
      <c r="D444" s="20"/>
      <c r="E444" s="20"/>
    </row>
    <row r="445">
      <c r="D445" s="20"/>
      <c r="E445" s="20"/>
    </row>
    <row r="446">
      <c r="D446" s="20"/>
      <c r="E446" s="20"/>
    </row>
    <row r="447">
      <c r="D447" s="20"/>
      <c r="E447" s="20"/>
    </row>
    <row r="448">
      <c r="D448" s="20"/>
      <c r="E448" s="20"/>
    </row>
    <row r="449">
      <c r="D449" s="20"/>
      <c r="E449" s="20"/>
    </row>
    <row r="450">
      <c r="D450" s="20"/>
      <c r="E450" s="20"/>
    </row>
    <row r="451">
      <c r="D451" s="20"/>
      <c r="E451" s="20"/>
    </row>
    <row r="452">
      <c r="D452" s="20"/>
      <c r="E452" s="20"/>
    </row>
    <row r="453">
      <c r="D453" s="20"/>
      <c r="E453" s="20"/>
    </row>
    <row r="454">
      <c r="D454" s="20"/>
      <c r="E454" s="20"/>
    </row>
    <row r="455">
      <c r="D455" s="20"/>
      <c r="E455" s="20"/>
    </row>
    <row r="456">
      <c r="D456" s="20"/>
      <c r="E456" s="20"/>
    </row>
    <row r="457">
      <c r="D457" s="20"/>
      <c r="E457" s="20"/>
    </row>
    <row r="458">
      <c r="D458" s="20"/>
      <c r="E458" s="20"/>
    </row>
    <row r="459">
      <c r="D459" s="20"/>
      <c r="E459" s="20"/>
    </row>
    <row r="460">
      <c r="D460" s="20"/>
      <c r="E460" s="20"/>
    </row>
    <row r="461">
      <c r="D461" s="20"/>
      <c r="E461" s="20"/>
    </row>
    <row r="462">
      <c r="D462" s="20"/>
      <c r="E462" s="20"/>
    </row>
    <row r="463">
      <c r="D463" s="20"/>
      <c r="E463" s="20"/>
    </row>
    <row r="464">
      <c r="D464" s="20"/>
      <c r="E464" s="20"/>
    </row>
    <row r="465">
      <c r="D465" s="20"/>
      <c r="E465" s="20"/>
    </row>
    <row r="466">
      <c r="D466" s="20"/>
      <c r="E466" s="20"/>
    </row>
    <row r="467">
      <c r="D467" s="20"/>
      <c r="E467" s="20"/>
    </row>
    <row r="468">
      <c r="D468" s="20"/>
      <c r="E468" s="20"/>
    </row>
    <row r="469">
      <c r="D469" s="20"/>
      <c r="E469" s="20"/>
    </row>
    <row r="470">
      <c r="D470" s="20"/>
      <c r="E470" s="20"/>
    </row>
    <row r="471">
      <c r="D471" s="20"/>
      <c r="E471" s="20"/>
    </row>
    <row r="472">
      <c r="D472" s="20"/>
      <c r="E472" s="20"/>
    </row>
    <row r="473">
      <c r="D473" s="20"/>
      <c r="E473" s="20"/>
    </row>
    <row r="474">
      <c r="D474" s="20"/>
      <c r="E474" s="20"/>
    </row>
    <row r="475">
      <c r="D475" s="20"/>
      <c r="E475" s="20"/>
    </row>
    <row r="476">
      <c r="D476" s="20"/>
      <c r="E476" s="20"/>
    </row>
    <row r="477">
      <c r="D477" s="20"/>
      <c r="E477" s="20"/>
    </row>
    <row r="478">
      <c r="D478" s="20"/>
      <c r="E478" s="20"/>
    </row>
    <row r="479">
      <c r="D479" s="20"/>
      <c r="E479" s="20"/>
    </row>
    <row r="480">
      <c r="D480" s="20"/>
      <c r="E480" s="20"/>
    </row>
    <row r="481">
      <c r="D481" s="20"/>
      <c r="E481" s="20"/>
    </row>
    <row r="482">
      <c r="D482" s="20"/>
      <c r="E482" s="20"/>
    </row>
    <row r="483">
      <c r="D483" s="20"/>
      <c r="E483" s="20"/>
    </row>
    <row r="484">
      <c r="D484" s="20"/>
      <c r="E484" s="20"/>
    </row>
    <row r="485">
      <c r="D485" s="20"/>
      <c r="E485" s="20"/>
    </row>
    <row r="486">
      <c r="D486" s="20"/>
      <c r="E486" s="20"/>
    </row>
    <row r="487">
      <c r="D487" s="20"/>
      <c r="E487" s="20"/>
    </row>
    <row r="488">
      <c r="D488" s="20"/>
      <c r="E488" s="20"/>
    </row>
    <row r="489">
      <c r="D489" s="20"/>
      <c r="E489" s="20"/>
    </row>
    <row r="490">
      <c r="D490" s="20"/>
      <c r="E490" s="20"/>
    </row>
    <row r="491">
      <c r="D491" s="20"/>
      <c r="E491" s="20"/>
    </row>
    <row r="492">
      <c r="D492" s="20"/>
      <c r="E492" s="20"/>
    </row>
    <row r="493">
      <c r="D493" s="20"/>
      <c r="E493" s="20"/>
    </row>
    <row r="494">
      <c r="D494" s="20"/>
      <c r="E494" s="20"/>
    </row>
    <row r="495">
      <c r="D495" s="20"/>
      <c r="E495" s="20"/>
    </row>
    <row r="496">
      <c r="D496" s="20"/>
      <c r="E496" s="20"/>
    </row>
    <row r="497">
      <c r="D497" s="20"/>
      <c r="E497" s="20"/>
    </row>
    <row r="498">
      <c r="D498" s="20"/>
      <c r="E498" s="20"/>
    </row>
    <row r="499">
      <c r="D499" s="20"/>
      <c r="E499" s="20"/>
    </row>
    <row r="500">
      <c r="D500" s="20"/>
      <c r="E500" s="20"/>
    </row>
    <row r="501">
      <c r="D501" s="20"/>
      <c r="E501" s="20"/>
    </row>
    <row r="502">
      <c r="D502" s="20"/>
      <c r="E502" s="20"/>
    </row>
    <row r="503">
      <c r="D503" s="20"/>
      <c r="E503" s="20"/>
    </row>
    <row r="504">
      <c r="D504" s="20"/>
      <c r="E504" s="20"/>
    </row>
    <row r="505">
      <c r="D505" s="20"/>
      <c r="E505" s="20"/>
    </row>
    <row r="506">
      <c r="D506" s="20"/>
      <c r="E506" s="20"/>
    </row>
    <row r="507">
      <c r="D507" s="20"/>
      <c r="E507" s="20"/>
    </row>
    <row r="508">
      <c r="D508" s="20"/>
      <c r="E508" s="20"/>
    </row>
    <row r="509">
      <c r="D509" s="20"/>
      <c r="E509" s="20"/>
    </row>
    <row r="510">
      <c r="D510" s="20"/>
      <c r="E510" s="20"/>
    </row>
    <row r="511">
      <c r="D511" s="20"/>
      <c r="E511" s="20"/>
    </row>
    <row r="512">
      <c r="D512" s="20"/>
      <c r="E512" s="20"/>
    </row>
    <row r="513">
      <c r="D513" s="20"/>
      <c r="E513" s="20"/>
    </row>
    <row r="514">
      <c r="D514" s="20"/>
      <c r="E514" s="20"/>
    </row>
    <row r="515">
      <c r="D515" s="20"/>
      <c r="E515" s="20"/>
    </row>
    <row r="516">
      <c r="D516" s="20"/>
      <c r="E516" s="20"/>
    </row>
    <row r="517">
      <c r="D517" s="20"/>
      <c r="E517" s="20"/>
    </row>
    <row r="518">
      <c r="D518" s="20"/>
      <c r="E518" s="20"/>
    </row>
    <row r="519">
      <c r="D519" s="20"/>
      <c r="E519" s="20"/>
    </row>
    <row r="520">
      <c r="D520" s="20"/>
      <c r="E520" s="20"/>
    </row>
    <row r="521">
      <c r="D521" s="20"/>
      <c r="E521" s="20"/>
    </row>
    <row r="522">
      <c r="D522" s="20"/>
      <c r="E522" s="20"/>
    </row>
    <row r="523">
      <c r="D523" s="20"/>
      <c r="E523" s="20"/>
    </row>
    <row r="524">
      <c r="D524" s="20"/>
      <c r="E524" s="20"/>
    </row>
    <row r="525">
      <c r="D525" s="20"/>
      <c r="E525" s="20"/>
    </row>
    <row r="526">
      <c r="D526" s="20"/>
      <c r="E526" s="20"/>
    </row>
    <row r="527">
      <c r="D527" s="20"/>
      <c r="E527" s="20"/>
    </row>
    <row r="528">
      <c r="D528" s="20"/>
      <c r="E528" s="20"/>
    </row>
    <row r="529">
      <c r="D529" s="20"/>
      <c r="E529" s="20"/>
    </row>
    <row r="530">
      <c r="D530" s="20"/>
      <c r="E530" s="20"/>
    </row>
    <row r="531">
      <c r="D531" s="20"/>
      <c r="E531" s="20"/>
    </row>
    <row r="532">
      <c r="D532" s="20"/>
      <c r="E532" s="20"/>
    </row>
    <row r="533">
      <c r="D533" s="20"/>
      <c r="E533" s="20"/>
    </row>
    <row r="534">
      <c r="D534" s="20"/>
      <c r="E534" s="20"/>
    </row>
    <row r="535">
      <c r="D535" s="20"/>
      <c r="E535" s="20"/>
    </row>
    <row r="536">
      <c r="D536" s="20"/>
      <c r="E536" s="20"/>
    </row>
    <row r="537">
      <c r="D537" s="20"/>
      <c r="E537" s="20"/>
    </row>
    <row r="538">
      <c r="D538" s="20"/>
      <c r="E538" s="20"/>
    </row>
    <row r="539">
      <c r="D539" s="20"/>
      <c r="E539" s="20"/>
    </row>
    <row r="540">
      <c r="D540" s="20"/>
      <c r="E540" s="20"/>
    </row>
    <row r="541">
      <c r="D541" s="20"/>
      <c r="E541" s="20"/>
    </row>
    <row r="542">
      <c r="D542" s="20"/>
      <c r="E542" s="20"/>
    </row>
    <row r="543">
      <c r="D543" s="20"/>
      <c r="E543" s="20"/>
    </row>
    <row r="544">
      <c r="D544" s="20"/>
      <c r="E544" s="20"/>
    </row>
    <row r="545">
      <c r="D545" s="20"/>
      <c r="E545" s="20"/>
    </row>
    <row r="546">
      <c r="D546" s="20"/>
      <c r="E546" s="20"/>
    </row>
    <row r="547">
      <c r="D547" s="20"/>
      <c r="E547" s="20"/>
    </row>
    <row r="548">
      <c r="D548" s="20"/>
      <c r="E548" s="20"/>
    </row>
    <row r="549">
      <c r="D549" s="20"/>
      <c r="E549" s="20"/>
    </row>
    <row r="550">
      <c r="D550" s="20"/>
      <c r="E550" s="20"/>
    </row>
    <row r="551">
      <c r="D551" s="20"/>
      <c r="E551" s="20"/>
    </row>
    <row r="552">
      <c r="D552" s="20"/>
      <c r="E552" s="20"/>
    </row>
    <row r="553">
      <c r="D553" s="20"/>
      <c r="E553" s="20"/>
    </row>
    <row r="554">
      <c r="D554" s="20"/>
      <c r="E554" s="20"/>
    </row>
    <row r="555">
      <c r="D555" s="20"/>
      <c r="E555" s="20"/>
    </row>
    <row r="556">
      <c r="D556" s="20"/>
      <c r="E556" s="20"/>
    </row>
    <row r="557">
      <c r="D557" s="20"/>
      <c r="E557" s="20"/>
    </row>
    <row r="558">
      <c r="D558" s="20"/>
      <c r="E558" s="20"/>
    </row>
    <row r="559">
      <c r="D559" s="20"/>
      <c r="E559" s="20"/>
    </row>
    <row r="560">
      <c r="D560" s="20"/>
      <c r="E560" s="20"/>
    </row>
    <row r="561">
      <c r="D561" s="20"/>
      <c r="E561" s="20"/>
    </row>
    <row r="562">
      <c r="D562" s="20"/>
      <c r="E562" s="20"/>
    </row>
    <row r="563">
      <c r="D563" s="20"/>
      <c r="E563" s="20"/>
    </row>
    <row r="564">
      <c r="D564" s="20"/>
      <c r="E564" s="20"/>
    </row>
    <row r="565">
      <c r="D565" s="20"/>
      <c r="E565" s="20"/>
    </row>
    <row r="566">
      <c r="D566" s="20"/>
      <c r="E566" s="20"/>
    </row>
    <row r="567">
      <c r="D567" s="20"/>
      <c r="E567" s="20"/>
    </row>
    <row r="568">
      <c r="D568" s="20"/>
      <c r="E568" s="20"/>
    </row>
    <row r="569">
      <c r="D569" s="20"/>
      <c r="E569" s="20"/>
    </row>
    <row r="570">
      <c r="D570" s="20"/>
      <c r="E570" s="20"/>
    </row>
    <row r="571">
      <c r="D571" s="20"/>
      <c r="E571" s="20"/>
    </row>
    <row r="572">
      <c r="D572" s="20"/>
      <c r="E572" s="20"/>
    </row>
    <row r="573">
      <c r="D573" s="20"/>
      <c r="E573" s="20"/>
    </row>
    <row r="574">
      <c r="D574" s="20"/>
      <c r="E574" s="20"/>
    </row>
    <row r="575">
      <c r="D575" s="20"/>
      <c r="E575" s="20"/>
    </row>
    <row r="576">
      <c r="D576" s="20"/>
      <c r="E576" s="20"/>
    </row>
    <row r="577">
      <c r="D577" s="20"/>
      <c r="E577" s="20"/>
    </row>
    <row r="578">
      <c r="D578" s="20"/>
      <c r="E578" s="20"/>
    </row>
    <row r="579">
      <c r="D579" s="20"/>
      <c r="E579" s="20"/>
    </row>
    <row r="580">
      <c r="D580" s="20"/>
      <c r="E580" s="20"/>
    </row>
    <row r="581">
      <c r="D581" s="20"/>
      <c r="E581" s="20"/>
    </row>
    <row r="582">
      <c r="D582" s="20"/>
      <c r="E582" s="20"/>
    </row>
    <row r="583">
      <c r="D583" s="20"/>
      <c r="E583" s="20"/>
    </row>
    <row r="584">
      <c r="D584" s="20"/>
      <c r="E584" s="20"/>
    </row>
    <row r="585">
      <c r="D585" s="20"/>
      <c r="E585" s="20"/>
    </row>
    <row r="586">
      <c r="D586" s="20"/>
      <c r="E586" s="20"/>
    </row>
    <row r="587">
      <c r="D587" s="20"/>
      <c r="E587" s="20"/>
    </row>
    <row r="588">
      <c r="D588" s="20"/>
      <c r="E588" s="20"/>
    </row>
    <row r="589">
      <c r="D589" s="20"/>
      <c r="E589" s="20"/>
    </row>
    <row r="590">
      <c r="D590" s="20"/>
      <c r="E590" s="20"/>
    </row>
    <row r="591">
      <c r="D591" s="20"/>
      <c r="E591" s="20"/>
    </row>
    <row r="592">
      <c r="D592" s="20"/>
      <c r="E592" s="20"/>
    </row>
    <row r="593">
      <c r="D593" s="20"/>
      <c r="E593" s="20"/>
    </row>
    <row r="594">
      <c r="D594" s="20"/>
      <c r="E594" s="20"/>
    </row>
    <row r="595">
      <c r="D595" s="20"/>
      <c r="E595" s="20"/>
    </row>
    <row r="596">
      <c r="D596" s="20"/>
      <c r="E596" s="20"/>
    </row>
    <row r="597">
      <c r="D597" s="20"/>
      <c r="E597" s="20"/>
    </row>
    <row r="598">
      <c r="D598" s="20"/>
      <c r="E598" s="20"/>
    </row>
    <row r="599">
      <c r="D599" s="20"/>
      <c r="E599" s="20"/>
    </row>
    <row r="600">
      <c r="D600" s="20"/>
      <c r="E600" s="20"/>
    </row>
    <row r="601">
      <c r="D601" s="20"/>
      <c r="E601" s="20"/>
    </row>
    <row r="602">
      <c r="D602" s="20"/>
      <c r="E602" s="20"/>
    </row>
    <row r="603">
      <c r="D603" s="20"/>
      <c r="E603" s="20"/>
    </row>
    <row r="604">
      <c r="D604" s="20"/>
      <c r="E604" s="20"/>
    </row>
    <row r="605">
      <c r="D605" s="20"/>
      <c r="E605" s="20"/>
    </row>
    <row r="606">
      <c r="D606" s="20"/>
      <c r="E606" s="20"/>
    </row>
    <row r="607">
      <c r="D607" s="20"/>
      <c r="E607" s="20"/>
    </row>
    <row r="608">
      <c r="D608" s="20"/>
      <c r="E608" s="20"/>
    </row>
    <row r="609">
      <c r="D609" s="20"/>
      <c r="E609" s="20"/>
    </row>
    <row r="610">
      <c r="D610" s="20"/>
      <c r="E610" s="20"/>
    </row>
    <row r="611">
      <c r="D611" s="20"/>
      <c r="E611" s="20"/>
    </row>
    <row r="612">
      <c r="D612" s="20"/>
      <c r="E612" s="20"/>
    </row>
    <row r="613">
      <c r="D613" s="20"/>
      <c r="E613" s="20"/>
    </row>
    <row r="614">
      <c r="D614" s="20"/>
      <c r="E614" s="20"/>
    </row>
    <row r="615">
      <c r="D615" s="20"/>
      <c r="E615" s="20"/>
    </row>
    <row r="616">
      <c r="D616" s="20"/>
      <c r="E616" s="20"/>
    </row>
    <row r="617">
      <c r="D617" s="20"/>
      <c r="E617" s="20"/>
    </row>
    <row r="618">
      <c r="D618" s="20"/>
      <c r="E618" s="20"/>
    </row>
    <row r="619">
      <c r="D619" s="20"/>
      <c r="E619" s="20"/>
    </row>
    <row r="620">
      <c r="D620" s="20"/>
      <c r="E620" s="20"/>
    </row>
    <row r="621">
      <c r="D621" s="20"/>
      <c r="E621" s="20"/>
    </row>
    <row r="622">
      <c r="D622" s="20"/>
      <c r="E622" s="20"/>
    </row>
    <row r="623">
      <c r="D623" s="20"/>
      <c r="E623" s="20"/>
    </row>
    <row r="624">
      <c r="D624" s="20"/>
      <c r="E624" s="20"/>
    </row>
    <row r="625">
      <c r="D625" s="20"/>
      <c r="E625" s="20"/>
    </row>
    <row r="626">
      <c r="D626" s="20"/>
      <c r="E626" s="20"/>
    </row>
    <row r="627">
      <c r="D627" s="20"/>
      <c r="E627" s="20"/>
    </row>
    <row r="628">
      <c r="D628" s="20"/>
      <c r="E628" s="20"/>
    </row>
    <row r="629">
      <c r="D629" s="20"/>
      <c r="E629" s="20"/>
    </row>
    <row r="630">
      <c r="D630" s="20"/>
      <c r="E630" s="20"/>
    </row>
    <row r="631">
      <c r="D631" s="20"/>
      <c r="E631" s="20"/>
    </row>
    <row r="632">
      <c r="D632" s="20"/>
      <c r="E632" s="20"/>
    </row>
    <row r="633">
      <c r="D633" s="20"/>
      <c r="E633" s="20"/>
    </row>
    <row r="634">
      <c r="D634" s="20"/>
      <c r="E634" s="20"/>
    </row>
    <row r="635">
      <c r="D635" s="20"/>
      <c r="E635" s="20"/>
    </row>
    <row r="636">
      <c r="D636" s="20"/>
      <c r="E636" s="20"/>
    </row>
    <row r="637">
      <c r="D637" s="20"/>
      <c r="E637" s="20"/>
    </row>
    <row r="638">
      <c r="D638" s="20"/>
      <c r="E638" s="20"/>
    </row>
    <row r="639">
      <c r="D639" s="20"/>
      <c r="E639" s="20"/>
    </row>
    <row r="640">
      <c r="D640" s="20"/>
      <c r="E640" s="20"/>
    </row>
    <row r="641">
      <c r="D641" s="20"/>
      <c r="E641" s="20"/>
    </row>
    <row r="642">
      <c r="D642" s="20"/>
      <c r="E642" s="20"/>
    </row>
    <row r="643">
      <c r="D643" s="20"/>
      <c r="E643" s="20"/>
    </row>
    <row r="644">
      <c r="D644" s="20"/>
      <c r="E644" s="20"/>
    </row>
    <row r="645">
      <c r="D645" s="20"/>
      <c r="E645" s="20"/>
    </row>
    <row r="646">
      <c r="D646" s="20"/>
      <c r="E646" s="20"/>
    </row>
    <row r="647">
      <c r="D647" s="20"/>
      <c r="E647" s="20"/>
    </row>
    <row r="648">
      <c r="D648" s="20"/>
      <c r="E648" s="20"/>
    </row>
    <row r="649">
      <c r="D649" s="20"/>
      <c r="E649" s="20"/>
    </row>
    <row r="650">
      <c r="D650" s="20"/>
      <c r="E650" s="20"/>
    </row>
    <row r="651">
      <c r="D651" s="20"/>
      <c r="E651" s="20"/>
    </row>
    <row r="652">
      <c r="D652" s="20"/>
      <c r="E652" s="20"/>
    </row>
    <row r="653">
      <c r="D653" s="20"/>
      <c r="E653" s="20"/>
    </row>
    <row r="654">
      <c r="D654" s="20"/>
      <c r="E654" s="20"/>
    </row>
    <row r="655">
      <c r="D655" s="20"/>
      <c r="E655" s="20"/>
    </row>
    <row r="656">
      <c r="D656" s="20"/>
      <c r="E656" s="20"/>
    </row>
    <row r="657">
      <c r="D657" s="20"/>
      <c r="E657" s="20"/>
    </row>
    <row r="658">
      <c r="D658" s="20"/>
      <c r="E658" s="20"/>
    </row>
    <row r="659">
      <c r="D659" s="20"/>
      <c r="E659" s="20"/>
    </row>
    <row r="660">
      <c r="D660" s="20"/>
      <c r="E660" s="20"/>
    </row>
    <row r="661">
      <c r="D661" s="20"/>
      <c r="E661" s="20"/>
    </row>
    <row r="662">
      <c r="D662" s="20"/>
      <c r="E662" s="20"/>
    </row>
    <row r="663">
      <c r="D663" s="20"/>
      <c r="E663" s="20"/>
    </row>
    <row r="664">
      <c r="D664" s="20"/>
      <c r="E664" s="20"/>
    </row>
    <row r="665">
      <c r="D665" s="20"/>
      <c r="E665" s="20"/>
    </row>
    <row r="666">
      <c r="D666" s="20"/>
      <c r="E666" s="20"/>
    </row>
    <row r="667">
      <c r="D667" s="20"/>
      <c r="E667" s="20"/>
    </row>
    <row r="668">
      <c r="D668" s="20"/>
      <c r="E668" s="20"/>
    </row>
    <row r="669">
      <c r="D669" s="20"/>
      <c r="E669" s="20"/>
    </row>
    <row r="670">
      <c r="D670" s="20"/>
      <c r="E670" s="20"/>
    </row>
    <row r="671">
      <c r="D671" s="20"/>
      <c r="E671" s="20"/>
    </row>
    <row r="672">
      <c r="D672" s="20"/>
      <c r="E672" s="20"/>
    </row>
    <row r="673">
      <c r="D673" s="20"/>
      <c r="E673" s="20"/>
    </row>
    <row r="674">
      <c r="D674" s="20"/>
      <c r="E674" s="20"/>
    </row>
    <row r="675">
      <c r="D675" s="20"/>
      <c r="E675" s="20"/>
    </row>
    <row r="676">
      <c r="D676" s="20"/>
      <c r="E676" s="20"/>
    </row>
    <row r="677">
      <c r="D677" s="20"/>
      <c r="E677" s="20"/>
    </row>
    <row r="678">
      <c r="D678" s="20"/>
      <c r="E678" s="20"/>
    </row>
    <row r="679">
      <c r="D679" s="20"/>
      <c r="E679" s="20"/>
    </row>
    <row r="680">
      <c r="D680" s="20"/>
      <c r="E680" s="20"/>
    </row>
    <row r="681">
      <c r="D681" s="20"/>
      <c r="E681" s="20"/>
    </row>
    <row r="682">
      <c r="D682" s="20"/>
      <c r="E682" s="20"/>
    </row>
    <row r="683">
      <c r="D683" s="20"/>
      <c r="E683" s="20"/>
    </row>
    <row r="684">
      <c r="D684" s="20"/>
      <c r="E684" s="20"/>
    </row>
    <row r="685">
      <c r="D685" s="20"/>
      <c r="E685" s="20"/>
    </row>
    <row r="686">
      <c r="D686" s="20"/>
      <c r="E686" s="20"/>
    </row>
    <row r="687">
      <c r="D687" s="20"/>
      <c r="E687" s="20"/>
    </row>
    <row r="688">
      <c r="D688" s="20"/>
      <c r="E688" s="20"/>
    </row>
    <row r="689">
      <c r="D689" s="20"/>
      <c r="E689" s="20"/>
    </row>
    <row r="690">
      <c r="D690" s="20"/>
      <c r="E690" s="20"/>
    </row>
    <row r="691">
      <c r="D691" s="20"/>
      <c r="E691" s="20"/>
    </row>
    <row r="692">
      <c r="D692" s="20"/>
      <c r="E692" s="20"/>
    </row>
    <row r="693">
      <c r="D693" s="20"/>
      <c r="E693" s="20"/>
    </row>
    <row r="694">
      <c r="D694" s="20"/>
      <c r="E694" s="20"/>
    </row>
    <row r="695">
      <c r="D695" s="20"/>
      <c r="E695" s="20"/>
    </row>
    <row r="696">
      <c r="D696" s="20"/>
      <c r="E696" s="20"/>
    </row>
    <row r="697">
      <c r="D697" s="20"/>
      <c r="E697" s="20"/>
    </row>
    <row r="698">
      <c r="D698" s="20"/>
      <c r="E698" s="20"/>
    </row>
    <row r="699">
      <c r="D699" s="20"/>
      <c r="E699" s="20"/>
    </row>
    <row r="700">
      <c r="D700" s="20"/>
      <c r="E700" s="20"/>
    </row>
    <row r="701">
      <c r="D701" s="20"/>
      <c r="E701" s="20"/>
    </row>
    <row r="702">
      <c r="D702" s="20"/>
      <c r="E702" s="20"/>
    </row>
    <row r="703">
      <c r="D703" s="20"/>
      <c r="E703" s="20"/>
    </row>
    <row r="704">
      <c r="D704" s="20"/>
      <c r="E704" s="20"/>
    </row>
    <row r="705">
      <c r="D705" s="20"/>
      <c r="E705" s="20"/>
    </row>
    <row r="706">
      <c r="D706" s="20"/>
      <c r="E706" s="20"/>
    </row>
    <row r="707">
      <c r="D707" s="20"/>
      <c r="E707" s="20"/>
    </row>
    <row r="708">
      <c r="D708" s="20"/>
      <c r="E708" s="20"/>
    </row>
    <row r="709">
      <c r="D709" s="20"/>
      <c r="E709" s="20"/>
    </row>
    <row r="710">
      <c r="D710" s="20"/>
      <c r="E710" s="20"/>
    </row>
    <row r="711">
      <c r="D711" s="20"/>
      <c r="E711" s="20"/>
    </row>
    <row r="712">
      <c r="D712" s="20"/>
      <c r="E712" s="20"/>
    </row>
    <row r="713">
      <c r="D713" s="20"/>
      <c r="E713" s="20"/>
    </row>
    <row r="714">
      <c r="D714" s="20"/>
      <c r="E714" s="20"/>
    </row>
    <row r="715">
      <c r="D715" s="20"/>
      <c r="E715" s="20"/>
    </row>
    <row r="716">
      <c r="D716" s="20"/>
      <c r="E716" s="20"/>
    </row>
    <row r="717">
      <c r="D717" s="20"/>
      <c r="E717" s="20"/>
    </row>
    <row r="718">
      <c r="D718" s="20"/>
      <c r="E718" s="20"/>
    </row>
    <row r="719">
      <c r="D719" s="20"/>
      <c r="E719" s="20"/>
    </row>
    <row r="720">
      <c r="D720" s="20"/>
      <c r="E720" s="20"/>
    </row>
    <row r="721">
      <c r="D721" s="20"/>
      <c r="E721" s="20"/>
    </row>
    <row r="722">
      <c r="D722" s="20"/>
      <c r="E722" s="20"/>
    </row>
    <row r="723">
      <c r="D723" s="20"/>
      <c r="E723" s="20"/>
    </row>
    <row r="724">
      <c r="D724" s="20"/>
      <c r="E724" s="20"/>
    </row>
    <row r="725">
      <c r="D725" s="20"/>
      <c r="E725" s="20"/>
    </row>
    <row r="726">
      <c r="D726" s="20"/>
      <c r="E726" s="20"/>
    </row>
    <row r="727">
      <c r="D727" s="20"/>
      <c r="E727" s="20"/>
    </row>
    <row r="728">
      <c r="D728" s="20"/>
      <c r="E728" s="20"/>
    </row>
    <row r="729">
      <c r="D729" s="20"/>
      <c r="E729" s="20"/>
    </row>
    <row r="730">
      <c r="D730" s="20"/>
      <c r="E730" s="20"/>
    </row>
    <row r="731">
      <c r="D731" s="20"/>
      <c r="E731" s="20"/>
    </row>
    <row r="732">
      <c r="D732" s="20"/>
      <c r="E732" s="20"/>
    </row>
    <row r="733">
      <c r="D733" s="20"/>
      <c r="E733" s="20"/>
    </row>
    <row r="734">
      <c r="D734" s="20"/>
      <c r="E734" s="20"/>
    </row>
    <row r="735">
      <c r="D735" s="20"/>
      <c r="E735" s="20"/>
    </row>
    <row r="736">
      <c r="D736" s="20"/>
      <c r="E736" s="20"/>
    </row>
    <row r="737">
      <c r="D737" s="20"/>
      <c r="E737" s="20"/>
    </row>
    <row r="738">
      <c r="D738" s="20"/>
      <c r="E738" s="20"/>
    </row>
    <row r="739">
      <c r="D739" s="20"/>
      <c r="E739" s="20"/>
    </row>
    <row r="740">
      <c r="D740" s="20"/>
      <c r="E740" s="20"/>
    </row>
    <row r="741">
      <c r="D741" s="20"/>
      <c r="E741" s="20"/>
    </row>
    <row r="742">
      <c r="D742" s="20"/>
      <c r="E742" s="20"/>
    </row>
    <row r="743">
      <c r="D743" s="20"/>
      <c r="E743" s="20"/>
    </row>
    <row r="744">
      <c r="D744" s="20"/>
      <c r="E744" s="20"/>
    </row>
    <row r="745">
      <c r="D745" s="20"/>
      <c r="E745" s="20"/>
    </row>
    <row r="746">
      <c r="D746" s="20"/>
      <c r="E746" s="20"/>
    </row>
    <row r="747">
      <c r="D747" s="20"/>
      <c r="E747" s="20"/>
    </row>
    <row r="748">
      <c r="D748" s="20"/>
      <c r="E748" s="20"/>
    </row>
    <row r="749">
      <c r="D749" s="20"/>
      <c r="E749" s="20"/>
    </row>
    <row r="750">
      <c r="D750" s="20"/>
      <c r="E750" s="20"/>
    </row>
    <row r="751">
      <c r="D751" s="20"/>
      <c r="E751" s="20"/>
    </row>
    <row r="752">
      <c r="D752" s="20"/>
      <c r="E752" s="20"/>
    </row>
    <row r="753">
      <c r="D753" s="20"/>
      <c r="E753" s="20"/>
    </row>
    <row r="754">
      <c r="D754" s="20"/>
      <c r="E754" s="20"/>
    </row>
    <row r="755">
      <c r="D755" s="20"/>
      <c r="E755" s="20"/>
    </row>
    <row r="756">
      <c r="D756" s="20"/>
      <c r="E756" s="20"/>
    </row>
    <row r="757">
      <c r="D757" s="20"/>
      <c r="E757" s="20"/>
    </row>
    <row r="758">
      <c r="D758" s="20"/>
      <c r="E758" s="20"/>
    </row>
    <row r="759">
      <c r="D759" s="20"/>
      <c r="E759" s="20"/>
    </row>
    <row r="760">
      <c r="D760" s="20"/>
      <c r="E760" s="20"/>
    </row>
    <row r="761">
      <c r="D761" s="20"/>
      <c r="E761" s="20"/>
    </row>
    <row r="762">
      <c r="D762" s="20"/>
      <c r="E762" s="20"/>
    </row>
    <row r="763">
      <c r="D763" s="20"/>
      <c r="E763" s="20"/>
    </row>
    <row r="764">
      <c r="D764" s="20"/>
      <c r="E764" s="20"/>
    </row>
    <row r="765">
      <c r="D765" s="20"/>
      <c r="E765" s="20"/>
    </row>
    <row r="766">
      <c r="D766" s="20"/>
      <c r="E766" s="20"/>
    </row>
    <row r="767">
      <c r="D767" s="20"/>
      <c r="E767" s="20"/>
    </row>
    <row r="768">
      <c r="D768" s="20"/>
      <c r="E768" s="20"/>
    </row>
    <row r="769">
      <c r="D769" s="20"/>
      <c r="E769" s="20"/>
    </row>
    <row r="770">
      <c r="D770" s="20"/>
      <c r="E770" s="20"/>
    </row>
    <row r="771">
      <c r="D771" s="20"/>
      <c r="E771" s="20"/>
    </row>
    <row r="772">
      <c r="D772" s="20"/>
      <c r="E772" s="20"/>
    </row>
    <row r="773">
      <c r="D773" s="20"/>
      <c r="E773" s="20"/>
    </row>
    <row r="774">
      <c r="D774" s="20"/>
      <c r="E774" s="20"/>
    </row>
    <row r="775">
      <c r="D775" s="20"/>
      <c r="E775" s="20"/>
    </row>
    <row r="776">
      <c r="D776" s="20"/>
      <c r="E776" s="20"/>
    </row>
    <row r="777">
      <c r="D777" s="20"/>
      <c r="E777" s="20"/>
    </row>
    <row r="778">
      <c r="D778" s="20"/>
      <c r="E778" s="20"/>
    </row>
    <row r="779">
      <c r="D779" s="20"/>
      <c r="E779" s="20"/>
    </row>
    <row r="780">
      <c r="D780" s="20"/>
      <c r="E780" s="20"/>
    </row>
    <row r="781">
      <c r="D781" s="20"/>
      <c r="E781" s="20"/>
    </row>
    <row r="782">
      <c r="D782" s="20"/>
      <c r="E782" s="20"/>
    </row>
    <row r="783">
      <c r="D783" s="20"/>
      <c r="E783" s="20"/>
    </row>
    <row r="784">
      <c r="D784" s="20"/>
      <c r="E784" s="20"/>
    </row>
    <row r="785">
      <c r="D785" s="20"/>
      <c r="E785" s="20"/>
    </row>
    <row r="786">
      <c r="D786" s="20"/>
      <c r="E786" s="20"/>
    </row>
    <row r="787">
      <c r="D787" s="20"/>
      <c r="E787" s="20"/>
    </row>
    <row r="788">
      <c r="D788" s="20"/>
      <c r="E788" s="20"/>
    </row>
    <row r="789">
      <c r="D789" s="20"/>
      <c r="E789" s="20"/>
    </row>
    <row r="790">
      <c r="D790" s="20"/>
      <c r="E790" s="20"/>
    </row>
    <row r="791">
      <c r="D791" s="20"/>
      <c r="E791" s="20"/>
    </row>
    <row r="792">
      <c r="D792" s="20"/>
      <c r="E792" s="20"/>
    </row>
    <row r="793">
      <c r="D793" s="20"/>
      <c r="E793" s="20"/>
    </row>
    <row r="794">
      <c r="D794" s="20"/>
      <c r="E794" s="20"/>
    </row>
    <row r="795">
      <c r="D795" s="20"/>
      <c r="E795" s="20"/>
    </row>
    <row r="796">
      <c r="D796" s="20"/>
      <c r="E796" s="20"/>
    </row>
    <row r="797">
      <c r="D797" s="20"/>
      <c r="E797" s="20"/>
    </row>
    <row r="798">
      <c r="D798" s="20"/>
      <c r="E798" s="20"/>
    </row>
    <row r="799">
      <c r="D799" s="20"/>
      <c r="E799" s="20"/>
    </row>
    <row r="800">
      <c r="D800" s="20"/>
      <c r="E800" s="20"/>
    </row>
    <row r="801">
      <c r="D801" s="20"/>
      <c r="E801" s="20"/>
    </row>
    <row r="802">
      <c r="D802" s="20"/>
      <c r="E802" s="20"/>
    </row>
    <row r="803">
      <c r="D803" s="20"/>
      <c r="E803" s="20"/>
    </row>
    <row r="804">
      <c r="D804" s="20"/>
      <c r="E804" s="20"/>
    </row>
    <row r="805">
      <c r="D805" s="20"/>
      <c r="E805" s="20"/>
    </row>
    <row r="806">
      <c r="D806" s="20"/>
      <c r="E806" s="20"/>
    </row>
    <row r="807">
      <c r="D807" s="20"/>
      <c r="E807" s="20"/>
    </row>
    <row r="808">
      <c r="D808" s="20"/>
      <c r="E808" s="20"/>
    </row>
    <row r="809">
      <c r="D809" s="20"/>
      <c r="E809" s="20"/>
    </row>
    <row r="810">
      <c r="D810" s="20"/>
      <c r="E810" s="20"/>
    </row>
    <row r="811">
      <c r="D811" s="20"/>
      <c r="E811" s="20"/>
    </row>
    <row r="812">
      <c r="D812" s="20"/>
      <c r="E812" s="20"/>
    </row>
    <row r="813">
      <c r="D813" s="20"/>
      <c r="E813" s="20"/>
    </row>
    <row r="814">
      <c r="D814" s="20"/>
      <c r="E814" s="20"/>
    </row>
    <row r="815">
      <c r="D815" s="20"/>
      <c r="E815" s="20"/>
    </row>
    <row r="816">
      <c r="D816" s="20"/>
      <c r="E816" s="20"/>
    </row>
    <row r="817">
      <c r="D817" s="20"/>
      <c r="E817" s="20"/>
    </row>
    <row r="818">
      <c r="D818" s="20"/>
      <c r="E818" s="20"/>
    </row>
    <row r="819">
      <c r="D819" s="20"/>
      <c r="E819" s="20"/>
    </row>
    <row r="820">
      <c r="D820" s="20"/>
      <c r="E820" s="20"/>
    </row>
    <row r="821">
      <c r="D821" s="20"/>
      <c r="E821" s="20"/>
    </row>
    <row r="822">
      <c r="D822" s="20"/>
      <c r="E822" s="20"/>
    </row>
    <row r="823">
      <c r="D823" s="20"/>
      <c r="E823" s="20"/>
    </row>
    <row r="824">
      <c r="D824" s="20"/>
      <c r="E824" s="20"/>
    </row>
    <row r="825">
      <c r="D825" s="20"/>
      <c r="E825" s="20"/>
    </row>
    <row r="826">
      <c r="D826" s="20"/>
      <c r="E826" s="20"/>
    </row>
    <row r="827">
      <c r="D827" s="20"/>
      <c r="E827" s="20"/>
    </row>
    <row r="828">
      <c r="D828" s="20"/>
      <c r="E828" s="20"/>
    </row>
    <row r="829">
      <c r="D829" s="20"/>
      <c r="E829" s="20"/>
    </row>
    <row r="830">
      <c r="D830" s="20"/>
      <c r="E830" s="20"/>
    </row>
    <row r="831">
      <c r="D831" s="20"/>
      <c r="E831" s="20"/>
    </row>
    <row r="832">
      <c r="D832" s="20"/>
      <c r="E832" s="20"/>
    </row>
    <row r="833">
      <c r="D833" s="20"/>
      <c r="E833" s="20"/>
    </row>
    <row r="834">
      <c r="D834" s="20"/>
      <c r="E834" s="20"/>
    </row>
    <row r="835">
      <c r="D835" s="20"/>
      <c r="E835" s="20"/>
    </row>
    <row r="836">
      <c r="D836" s="20"/>
      <c r="E836" s="20"/>
    </row>
    <row r="837">
      <c r="D837" s="20"/>
      <c r="E837" s="20"/>
    </row>
    <row r="838">
      <c r="D838" s="20"/>
      <c r="E838" s="20"/>
    </row>
    <row r="839">
      <c r="D839" s="20"/>
      <c r="E839" s="20"/>
    </row>
    <row r="840">
      <c r="D840" s="20"/>
      <c r="E840" s="20"/>
    </row>
    <row r="841">
      <c r="D841" s="20"/>
      <c r="E841" s="20"/>
    </row>
    <row r="842">
      <c r="D842" s="20"/>
      <c r="E842" s="20"/>
    </row>
    <row r="843">
      <c r="D843" s="20"/>
      <c r="E843" s="20"/>
    </row>
    <row r="844">
      <c r="D844" s="20"/>
      <c r="E844" s="20"/>
    </row>
    <row r="845">
      <c r="D845" s="20"/>
      <c r="E845" s="20"/>
    </row>
    <row r="846">
      <c r="D846" s="20"/>
      <c r="E846" s="20"/>
    </row>
    <row r="847">
      <c r="D847" s="20"/>
      <c r="E847" s="20"/>
    </row>
    <row r="848">
      <c r="D848" s="20"/>
      <c r="E848" s="20"/>
    </row>
    <row r="849">
      <c r="D849" s="20"/>
      <c r="E849" s="20"/>
    </row>
    <row r="850">
      <c r="D850" s="20"/>
      <c r="E850" s="20"/>
    </row>
    <row r="851">
      <c r="D851" s="20"/>
      <c r="E851" s="20"/>
    </row>
    <row r="852">
      <c r="D852" s="20"/>
      <c r="E852" s="20"/>
    </row>
    <row r="853">
      <c r="D853" s="20"/>
      <c r="E853" s="20"/>
    </row>
    <row r="854">
      <c r="D854" s="20"/>
      <c r="E854" s="20"/>
    </row>
    <row r="855">
      <c r="D855" s="20"/>
      <c r="E855" s="20"/>
    </row>
    <row r="856">
      <c r="D856" s="20"/>
      <c r="E856" s="20"/>
    </row>
    <row r="857">
      <c r="D857" s="20"/>
      <c r="E857" s="20"/>
    </row>
    <row r="858">
      <c r="D858" s="20"/>
      <c r="E858" s="20"/>
    </row>
    <row r="859">
      <c r="D859" s="20"/>
      <c r="E859" s="20"/>
    </row>
    <row r="860">
      <c r="D860" s="20"/>
      <c r="E860" s="20"/>
    </row>
    <row r="861">
      <c r="D861" s="20"/>
      <c r="E861" s="20"/>
    </row>
    <row r="862">
      <c r="D862" s="20"/>
      <c r="E862" s="20"/>
    </row>
    <row r="863">
      <c r="D863" s="20"/>
      <c r="E863" s="20"/>
    </row>
    <row r="864">
      <c r="D864" s="20"/>
      <c r="E864" s="20"/>
    </row>
    <row r="865">
      <c r="D865" s="20"/>
      <c r="E865" s="20"/>
    </row>
    <row r="866">
      <c r="D866" s="20"/>
      <c r="E866" s="20"/>
    </row>
    <row r="867">
      <c r="D867" s="20"/>
      <c r="E867" s="20"/>
    </row>
    <row r="868">
      <c r="D868" s="20"/>
      <c r="E868" s="20"/>
    </row>
    <row r="869">
      <c r="D869" s="20"/>
      <c r="E869" s="20"/>
    </row>
    <row r="870">
      <c r="D870" s="20"/>
      <c r="E870" s="20"/>
    </row>
    <row r="871">
      <c r="D871" s="20"/>
      <c r="E871" s="20"/>
    </row>
    <row r="872">
      <c r="D872" s="20"/>
      <c r="E872" s="20"/>
    </row>
    <row r="873">
      <c r="D873" s="20"/>
      <c r="E873" s="20"/>
    </row>
    <row r="874">
      <c r="D874" s="20"/>
      <c r="E874" s="20"/>
    </row>
    <row r="875">
      <c r="D875" s="20"/>
      <c r="E875" s="20"/>
    </row>
    <row r="876">
      <c r="D876" s="20"/>
      <c r="E876" s="20"/>
    </row>
    <row r="877">
      <c r="D877" s="20"/>
      <c r="E877" s="20"/>
    </row>
    <row r="878">
      <c r="D878" s="20"/>
      <c r="E878" s="20"/>
    </row>
    <row r="879">
      <c r="D879" s="20"/>
      <c r="E879" s="20"/>
    </row>
    <row r="880">
      <c r="D880" s="20"/>
      <c r="E880" s="20"/>
    </row>
    <row r="881">
      <c r="D881" s="20"/>
      <c r="E881" s="20"/>
    </row>
    <row r="882">
      <c r="D882" s="20"/>
      <c r="E882" s="20"/>
    </row>
    <row r="883">
      <c r="D883" s="20"/>
      <c r="E883" s="20"/>
    </row>
    <row r="884">
      <c r="D884" s="20"/>
      <c r="E884" s="20"/>
    </row>
    <row r="885">
      <c r="D885" s="20"/>
      <c r="E885" s="20"/>
    </row>
    <row r="886">
      <c r="D886" s="20"/>
      <c r="E886" s="20"/>
    </row>
    <row r="887">
      <c r="D887" s="20"/>
      <c r="E887" s="20"/>
    </row>
    <row r="888">
      <c r="D888" s="20"/>
      <c r="E888" s="20"/>
    </row>
    <row r="889">
      <c r="D889" s="20"/>
      <c r="E889" s="20"/>
    </row>
    <row r="890">
      <c r="D890" s="20"/>
      <c r="E890" s="20"/>
    </row>
    <row r="891">
      <c r="D891" s="20"/>
      <c r="E891" s="20"/>
    </row>
    <row r="892">
      <c r="D892" s="20"/>
      <c r="E892" s="20"/>
    </row>
    <row r="893">
      <c r="D893" s="20"/>
      <c r="E893" s="20"/>
    </row>
    <row r="894">
      <c r="D894" s="20"/>
      <c r="E894" s="20"/>
    </row>
    <row r="895">
      <c r="D895" s="20"/>
      <c r="E895" s="20"/>
    </row>
    <row r="896">
      <c r="D896" s="20"/>
      <c r="E896" s="20"/>
    </row>
    <row r="897">
      <c r="D897" s="20"/>
      <c r="E897" s="20"/>
    </row>
    <row r="898">
      <c r="D898" s="20"/>
      <c r="E898" s="20"/>
    </row>
    <row r="899">
      <c r="D899" s="20"/>
      <c r="E899" s="20"/>
    </row>
    <row r="900">
      <c r="D900" s="20"/>
      <c r="E900" s="20"/>
    </row>
    <row r="901">
      <c r="D901" s="20"/>
      <c r="E901" s="20"/>
    </row>
    <row r="902">
      <c r="D902" s="20"/>
      <c r="E902" s="20"/>
    </row>
    <row r="903">
      <c r="D903" s="20"/>
      <c r="E903" s="20"/>
    </row>
    <row r="904">
      <c r="D904" s="20"/>
      <c r="E904" s="20"/>
    </row>
    <row r="905">
      <c r="D905" s="20"/>
      <c r="E905" s="20"/>
    </row>
    <row r="906">
      <c r="D906" s="20"/>
      <c r="E906" s="20"/>
    </row>
    <row r="907">
      <c r="D907" s="20"/>
      <c r="E907" s="20"/>
    </row>
    <row r="908">
      <c r="D908" s="20"/>
      <c r="E908" s="20"/>
    </row>
    <row r="909">
      <c r="D909" s="20"/>
      <c r="E909" s="20"/>
    </row>
    <row r="910">
      <c r="D910" s="20"/>
      <c r="E910" s="20"/>
    </row>
    <row r="911">
      <c r="D911" s="20"/>
      <c r="E911" s="20"/>
    </row>
    <row r="912">
      <c r="D912" s="20"/>
      <c r="E912" s="20"/>
    </row>
    <row r="913">
      <c r="D913" s="20"/>
      <c r="E913" s="20"/>
    </row>
    <row r="914">
      <c r="D914" s="20"/>
      <c r="E914" s="20"/>
    </row>
    <row r="915">
      <c r="D915" s="20"/>
      <c r="E915" s="20"/>
    </row>
    <row r="916">
      <c r="D916" s="20"/>
      <c r="E916" s="20"/>
    </row>
    <row r="917">
      <c r="D917" s="20"/>
      <c r="E917" s="20"/>
    </row>
    <row r="918">
      <c r="D918" s="20"/>
      <c r="E918" s="20"/>
    </row>
    <row r="919">
      <c r="D919" s="20"/>
      <c r="E919" s="20"/>
    </row>
    <row r="920">
      <c r="D920" s="20"/>
      <c r="E920" s="20"/>
    </row>
    <row r="921">
      <c r="D921" s="20"/>
      <c r="E921" s="20"/>
    </row>
    <row r="922">
      <c r="D922" s="20"/>
      <c r="E922" s="20"/>
    </row>
    <row r="923">
      <c r="D923" s="20"/>
      <c r="E923" s="20"/>
    </row>
    <row r="924">
      <c r="D924" s="20"/>
      <c r="E924" s="20"/>
    </row>
    <row r="925">
      <c r="D925" s="20"/>
      <c r="E925" s="20"/>
    </row>
    <row r="926">
      <c r="D926" s="20"/>
      <c r="E926" s="20"/>
    </row>
    <row r="927">
      <c r="D927" s="20"/>
      <c r="E927" s="20"/>
    </row>
    <row r="928">
      <c r="D928" s="20"/>
      <c r="E928" s="20"/>
    </row>
    <row r="929">
      <c r="D929" s="20"/>
      <c r="E929" s="20"/>
    </row>
    <row r="930">
      <c r="D930" s="20"/>
      <c r="E930" s="20"/>
    </row>
    <row r="931">
      <c r="D931" s="20"/>
      <c r="E931" s="20"/>
    </row>
    <row r="932">
      <c r="D932" s="20"/>
      <c r="E932" s="20"/>
    </row>
    <row r="933">
      <c r="D933" s="20"/>
      <c r="E933" s="20"/>
    </row>
    <row r="934">
      <c r="D934" s="20"/>
      <c r="E934" s="20"/>
    </row>
    <row r="935">
      <c r="D935" s="20"/>
      <c r="E935" s="20"/>
    </row>
    <row r="936">
      <c r="D936" s="20"/>
      <c r="E936" s="20"/>
    </row>
    <row r="937">
      <c r="D937" s="20"/>
      <c r="E937" s="20"/>
    </row>
    <row r="938">
      <c r="D938" s="20"/>
      <c r="E938" s="20"/>
    </row>
    <row r="939">
      <c r="D939" s="20"/>
      <c r="E939" s="20"/>
    </row>
    <row r="940">
      <c r="D940" s="20"/>
      <c r="E940" s="20"/>
    </row>
    <row r="941">
      <c r="D941" s="20"/>
      <c r="E941" s="20"/>
    </row>
    <row r="942">
      <c r="D942" s="20"/>
      <c r="E942" s="20"/>
    </row>
    <row r="943">
      <c r="D943" s="20"/>
      <c r="E943" s="20"/>
    </row>
    <row r="944">
      <c r="D944" s="20"/>
      <c r="E944" s="20"/>
    </row>
    <row r="945">
      <c r="D945" s="20"/>
      <c r="E945" s="20"/>
    </row>
    <row r="946">
      <c r="D946" s="20"/>
      <c r="E946" s="20"/>
    </row>
    <row r="947">
      <c r="D947" s="20"/>
      <c r="E947" s="20"/>
    </row>
    <row r="948">
      <c r="D948" s="20"/>
      <c r="E948" s="20"/>
    </row>
    <row r="949">
      <c r="D949" s="20"/>
      <c r="E949" s="20"/>
    </row>
    <row r="950">
      <c r="D950" s="20"/>
      <c r="E950" s="20"/>
    </row>
    <row r="951">
      <c r="D951" s="20"/>
      <c r="E951" s="20"/>
    </row>
    <row r="952">
      <c r="D952" s="20"/>
      <c r="E952" s="20"/>
    </row>
    <row r="953">
      <c r="D953" s="20"/>
      <c r="E953" s="20"/>
    </row>
    <row r="954">
      <c r="D954" s="20"/>
      <c r="E954" s="20"/>
    </row>
    <row r="955">
      <c r="D955" s="20"/>
      <c r="E955" s="20"/>
    </row>
    <row r="956">
      <c r="D956" s="20"/>
      <c r="E956" s="20"/>
    </row>
    <row r="957">
      <c r="D957" s="20"/>
      <c r="E957" s="20"/>
    </row>
    <row r="958">
      <c r="D958" s="20"/>
      <c r="E958" s="20"/>
    </row>
    <row r="959">
      <c r="D959" s="20"/>
      <c r="E959" s="20"/>
    </row>
    <row r="960">
      <c r="D960" s="20"/>
      <c r="E960" s="20"/>
    </row>
    <row r="961">
      <c r="D961" s="20"/>
      <c r="E961" s="20"/>
    </row>
    <row r="962">
      <c r="D962" s="20"/>
      <c r="E962" s="20"/>
    </row>
    <row r="963">
      <c r="D963" s="20"/>
      <c r="E963" s="20"/>
    </row>
    <row r="964">
      <c r="D964" s="20"/>
      <c r="E964" s="20"/>
    </row>
  </sheetData>
  <mergeCells count="5">
    <mergeCell ref="F1:J1"/>
    <mergeCell ref="R1:W1"/>
    <mergeCell ref="X1:AA1"/>
    <mergeCell ref="AR1:AS1"/>
    <mergeCell ref="AT1:AX1"/>
  </mergeCells>
  <dataValidations>
    <dataValidation type="list" allowBlank="1" showErrorMessage="1" sqref="X3:X28">
      <formula1>"Russian,Ukrainian,English,Other,Unsure"</formula1>
    </dataValidation>
    <dataValidation type="list" allowBlank="1" showErrorMessage="1" sqref="AK3:AK28">
      <formula1>"Food,Water,Medicine,Gun"</formula1>
    </dataValidation>
    <dataValidation type="list" allowBlank="1" showErrorMessage="1" sqref="AN3:AN28">
      <formula1>"Battle field/area (tanks, etc),Inside a building ,Destroyed building/structure,Train station,Sky,Outside - city (including skyline),None of these/other"</formula1>
    </dataValidation>
    <dataValidation type="list" allowBlank="1" showErrorMessage="1" sqref="AE3:AE28">
      <formula1>"Text and image aligned,Text and image unaligned,Text reframes/challenges image,Image reframes/challenges text,The text is spammy,The image is spammy,Other thing"</formula1>
    </dataValidation>
    <dataValidation type="list" allowBlank="1" showErrorMessage="1" sqref="V3:V28">
      <formula1>"Printed Paperwork,Printed Notice,Hand Drawing"</formula1>
    </dataValidation>
    <dataValidation type="list" allowBlank="1" showErrorMessage="1" sqref="Z3:Z28">
      <formula1>"Ukrainian Gvt,Russian Gvt,Law enforceement,People's republics,Aid orgs/NGOs,Press/media company,Influencer/individual logo,Other logo"</formula1>
    </dataValidation>
    <dataValidation type="list" allowBlank="1" showErrorMessage="1" sqref="AR3:AR28">
      <formula1>"Donate,Call a number,Go to a place for support/resources,Perform a state sanctioned action,Share/forward the image ,Go to an event ,Other mobilization behavior "</formula1>
    </dataValidation>
    <dataValidation type="list" allowBlank="1" showErrorMessage="1" sqref="AB3:AB28">
      <formula1>"Text and image aligned,Text and image unaligned,Text reframes/challenges image,Image reframes/challenges text,The text is spammy,The image is spammy,Other thing,No text in image"</formula1>
    </dataValidation>
    <dataValidation type="list" allowBlank="1" showErrorMessage="1" sqref="AM3:AM28">
      <formula1>"Ukrainian,Russian,Other"</formula1>
    </dataValidation>
    <dataValidation type="list" allowBlank="1" showErrorMessage="1" sqref="AL3:AL28">
      <formula1>"Drone,Cloud trail,Plane,Missile,Rocket,Other"</formula1>
    </dataValidation>
    <dataValidation type="list" allowBlank="1" showErrorMessage="1" sqref="AT3:AT28">
      <formula1>"Ukraine,Russia,DNR,LNR,Local/regional,Other/unknown"</formula1>
    </dataValidation>
    <dataValidation type="list" allowBlank="1" showErrorMessage="1" sqref="L4:L11 L13:L28">
      <formula1>"Humor,Russian infrastructure/normalization,English language ,Ukrainian colors in public places,Russian colors in public places,Destruction of monuments/key buildings,Happy children,Pro-Ukrainian support from another nation (or animal),Other thing ,Victimi"&amp;"zation,Historical association,Destruction in general"</formula1>
    </dataValidation>
    <dataValidation type="list" allowBlank="1" showErrorMessage="1" sqref="T3:T28">
      <formula1>"Ukraine ,Russia,Multiple countries,Multiple maps,Military map,Air raid map,Other map"</formula1>
    </dataValidation>
    <dataValidation type="list" allowBlank="1" showErrorMessage="1" sqref="AI3:AI28">
      <formula1>"Cat,Dog,Other"</formula1>
    </dataValidation>
    <dataValidation type="list" allowBlank="1" showErrorMessage="1" sqref="I3:I28">
      <formula1>"Implicit,Explicit,No stance,Unsure"</formula1>
    </dataValidation>
    <dataValidation type="list" allowBlank="1" showErrorMessage="1" sqref="K3:K28">
      <formula1>"Lots of context - hard to reframee,A little bit of context - harder to reframe if you know,No context - easy to reframe in a post"</formula1>
    </dataValidation>
    <dataValidation type="list" allowBlank="1" showErrorMessage="1" sqref="AV3:AV28">
      <formula1>"Russian,Ukrainian,Other"</formula1>
    </dataValidation>
    <dataValidation type="list" allowBlank="1" showErrorMessage="1" sqref="M3:O28">
      <formula1>"Russian in group (by Russians for Russians),Ukrainian in group (by Ukrainians, for Ukrainians),Russian out group (by Ukrainians or others, outgrouping Russians),Ukrainian out group (by Russians or others, outgrouping Ukrainians),None,Unsure"</formula1>
    </dataValidation>
    <dataValidation type="list" allowBlank="1" showErrorMessage="1" sqref="AF3:AF28">
      <formula1>"Clarifying the image,Describing the image,Challenging the image,Stressing/emphasizing the image,Reacting to the image,Other interesting thing,Contextualizing the Image"</formula1>
    </dataValidation>
    <dataValidation type="list" allowBlank="1" showErrorMessage="1" sqref="AD3 AD12">
      <formula1>"Name/Handle,Stock imagery,Other watermark,Russian"</formula1>
    </dataValidation>
    <dataValidation type="list" allowBlank="1" showErrorMessage="1" sqref="H3:H28">
      <formula1>"Pro-Russia,Pro-Ukrainian,No stance,Unsure"</formula1>
    </dataValidation>
    <dataValidation type="list" allowBlank="1" showErrorMessage="1" sqref="AU3:AU28">
      <formula1>"Ukrainian,Russian,EU,USA,Local/regional,DNR,LNR,Other/unknown"</formula1>
    </dataValidation>
    <dataValidation type="list" allowBlank="1" showErrorMessage="1" sqref="AO3:AO28">
      <formula1>"Active conflict,Result of conflict "</formula1>
    </dataValidation>
    <dataValidation type="list" allowBlank="1" showErrorMessage="1" sqref="U3:U28">
      <formula1>"Computer,Phone,TV,Unknown/unclear,Military footage screen ,Other,Unknown"</formula1>
    </dataValidation>
    <dataValidation type="list" allowBlank="1" showErrorMessage="1" sqref="AQ3:AQ28">
      <formula1>"Public speech,Press conference,newscast,Politician with miltiary,Gvt meeting/forum,Miltiary posing for photo,Arrest,Protest"</formula1>
    </dataValidation>
    <dataValidation type="list" allowBlank="1" showErrorMessage="1" sqref="AG3:AG28">
      <formula1>"Russian Military,Ukrainian Military,Soviet Military Figure"</formula1>
    </dataValidation>
    <dataValidation type="list" allowBlank="1" showErrorMessage="1" sqref="AH3:AH28">
      <formula1>"Zelensky,Putin,Biden,Turmp,Poroshenko,Xi Jinping,Other"</formula1>
    </dataValidation>
    <dataValidation type="list" allowBlank="1" showErrorMessage="1" sqref="P3:P28">
      <formula1>"Yes - hostility to Russian outgroup,Yes - hostility to Ukrainian outgroup,Yes - hostility to another outgroup,None,Unsure"</formula1>
    </dataValidation>
    <dataValidation type="list" allowBlank="1" showErrorMessage="1" sqref="J3:J28">
      <formula1>"Text and image aligned,Text reframes image,Image reframes text,None,Unsure"</formula1>
    </dataValidation>
    <dataValidation type="list" allowBlank="1" showErrorMessage="1" sqref="AD4:AD11 AA3:AA28 AD13:AD28">
      <formula1>"Name/Handle,Stock imagery,Other watermark"</formula1>
    </dataValidation>
    <dataValidation type="list" allowBlank="1" showErrorMessage="1" sqref="AJ3:AJ28">
      <formula1>"Military,Tank,Police,Firetruck,Civilian,Emergency,Other"</formula1>
    </dataValidation>
    <dataValidation type="list" allowBlank="1" showErrorMessage="1" sqref="R3:R28">
      <formula1>"Meme,Data visualization,Infographic,Digital flyers,""cover image"" - image for text,Map,Picture of a screen,Picture of paper,Screenshot,News article,Photograph,Illustration - realistic,Illustration - cartoon/comic,AI-genreated image,Collage of multiple im"&amp;"ages,Other"</formula1>
    </dataValidation>
    <dataValidation type="list" allowBlank="1" showErrorMessage="1" sqref="L3 L12">
      <formula1>"Humor,Russian infrastructure/normalization,English language ,Ukrainian colors in public places,Russian colors in public places,Destruction of monuments/key buildings,Happy children/women,Prisoners of war,Pro-Ukrainian support from another nation (or anima"&amp;"l),Other thing ,Women/Children Participation,Elderly Participation"</formula1>
    </dataValidation>
    <dataValidation type="list" allowBlank="1" showErrorMessage="1" sqref="AC3:AC28">
      <formula1>"Mixed,Russian,Ukrainian,English,Other"</formula1>
    </dataValidation>
    <dataValidation type="list" allowBlank="1" showErrorMessage="1" sqref="G3:G28">
      <formula1>"Discrediting,Emotion,Polarization,Impersonation,Conspiracy,Trolling"</formula1>
    </dataValidation>
    <dataValidation type="list" allowBlank="1" showErrorMessage="1" sqref="AS3:AS28">
      <formula1>"Psychological resource (ie crisis line),Motivational quote,Aid resource,Prayer,Other affective thing"</formula1>
    </dataValidation>
    <dataValidation type="list" allowBlank="1" showErrorMessage="1" sqref="AP3:AP28">
      <formula1>"Medical relief,Food relief/passout,Aid workers helping - general"</formula1>
    </dataValidation>
    <dataValidation type="list" allowBlank="1" showErrorMessage="1" sqref="Y3:Y28">
      <formula1>"Emojis added to cover faces,FAKE or other debunking text/image warning,Textual annotations (text added over an image),Graphical annotations (shapes, arrows to draw attention),Faces blurred,Blood/injuries blurred,Other blurring,Appears to have been cropped"&amp;",Other editting,likely AI generated"</formula1>
    </dataValidation>
    <dataValidation type="list" allowBlank="1" showErrorMessage="1" sqref="AW3:AW28">
      <formula1>"Ribbon of Saint George,USSR signs - hammer, stars, etc ,V, Z - war symbols,Rubles,Maps of Ukraine without Crimea and the occupied territories,Famous Russain culture figure,Balalaika,Russian bear ,Other "</formula1>
    </dataValidation>
    <dataValidation type="list" allowBlank="1" showErrorMessage="1" sqref="F3:F28">
      <formula1>"Lifestyle content - outfits, cooking, etc,Misc meme,Misc landscape (building, nature) image,Misc motivation post,Advertisement,Sports,Slop/Spam,Construction,Porn/sexual imagery"</formula1>
    </dataValidation>
    <dataValidation type="list" allowBlank="1" showErrorMessage="1" sqref="Q3:Q28">
      <formula1>"Yes - Solidarity to Ukrainian in group,Yes - Solidarity to Russian ingroup,Yes - Solidarity to a different in group,No,Unsure"</formula1>
    </dataValidation>
    <dataValidation type="list" allowBlank="1" showErrorMessage="1" sqref="AX3:AY28">
      <formula1>"Trident,letter ""i"",Variations of Russian warship,Sunflower,Sunflower seeds,Borscht,Vyshyvanka,Watermelons,Wheat,Varenyky,Other"</formula1>
    </dataValidation>
    <dataValidation type="list" allowBlank="1" showErrorMessage="1" sqref="S3:S28">
      <formula1>"Bar chart,Line chart,Scatter plot,Circle/donut/pie chart,Other chart type"</formula1>
    </dataValidation>
    <dataValidation type="list" allowBlank="1" showErrorMessage="1" sqref="W3:W28">
      <formula1>"Search engine result,LLM Output,News website,Government website,Social media - FB ,Social media - X,Social media - TikTok,Socila media - YT ,Social media - Whatsapp ,Social media - Telegram,Social media - Other/Unknown"</formula1>
    </dataValidation>
  </dataValidation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 customWidth="1" min="4" max="4" width="33.5"/>
    <col customWidth="1" min="5" max="5" width="34.13"/>
    <col customWidth="1" min="51" max="51" width="0.38"/>
    <col customWidth="1" min="52" max="52" width="34.38"/>
  </cols>
  <sheetData>
    <row r="1">
      <c r="A1" s="1"/>
      <c r="B1" s="1"/>
      <c r="C1" s="1"/>
      <c r="D1" s="2"/>
      <c r="E1" s="2"/>
      <c r="F1" s="3" t="s">
        <v>0</v>
      </c>
      <c r="K1" s="4"/>
      <c r="L1" s="4"/>
      <c r="M1" s="4"/>
      <c r="N1" s="4"/>
      <c r="O1" s="4"/>
      <c r="P1" s="4"/>
      <c r="Q1" s="4"/>
      <c r="R1" s="5" t="s">
        <v>1</v>
      </c>
      <c r="X1" s="6" t="s">
        <v>2</v>
      </c>
      <c r="AB1" s="6" t="s">
        <v>3</v>
      </c>
      <c r="AC1" s="7"/>
      <c r="AD1" s="7"/>
      <c r="AE1" s="7"/>
      <c r="AF1" s="7"/>
      <c r="AG1" s="8"/>
      <c r="AH1" s="8"/>
      <c r="AI1" s="8"/>
      <c r="AJ1" s="8"/>
      <c r="AK1" s="8"/>
      <c r="AL1" s="8"/>
      <c r="AM1" s="8"/>
      <c r="AN1" s="9" t="s">
        <v>4</v>
      </c>
      <c r="AO1" s="5" t="s">
        <v>5</v>
      </c>
      <c r="AP1" s="10"/>
      <c r="AQ1" s="10"/>
      <c r="AR1" s="6" t="s">
        <v>6</v>
      </c>
      <c r="AT1" s="11" t="s">
        <v>7</v>
      </c>
      <c r="AY1" s="8"/>
      <c r="AZ1" s="12" t="s">
        <v>8</v>
      </c>
      <c r="BA1" s="12" t="s">
        <v>9</v>
      </c>
    </row>
    <row r="2">
      <c r="A2" s="13" t="s">
        <v>10</v>
      </c>
      <c r="B2" s="13" t="s">
        <v>11</v>
      </c>
      <c r="C2" s="13" t="s">
        <v>12</v>
      </c>
      <c r="D2" s="14" t="s">
        <v>13</v>
      </c>
      <c r="E2" s="14" t="s">
        <v>14</v>
      </c>
      <c r="F2" s="3" t="s">
        <v>15</v>
      </c>
      <c r="G2" s="3" t="s">
        <v>16</v>
      </c>
      <c r="H2" s="3" t="s">
        <v>17</v>
      </c>
      <c r="I2" s="3" t="s">
        <v>18</v>
      </c>
      <c r="J2" s="3" t="s">
        <v>19</v>
      </c>
      <c r="K2" s="3" t="s">
        <v>20</v>
      </c>
      <c r="L2" s="3" t="s">
        <v>21</v>
      </c>
      <c r="M2" s="3" t="s">
        <v>22</v>
      </c>
      <c r="N2" s="3" t="s">
        <v>23</v>
      </c>
      <c r="O2" s="3" t="s">
        <v>24</v>
      </c>
      <c r="P2" s="3" t="s">
        <v>25</v>
      </c>
      <c r="Q2" s="3" t="s">
        <v>26</v>
      </c>
      <c r="R2" s="5" t="s">
        <v>27</v>
      </c>
      <c r="S2" s="5" t="s">
        <v>28</v>
      </c>
      <c r="T2" s="5" t="s">
        <v>29</v>
      </c>
      <c r="U2" s="5" t="s">
        <v>30</v>
      </c>
      <c r="V2" s="5" t="s">
        <v>31</v>
      </c>
      <c r="W2" s="5" t="s">
        <v>32</v>
      </c>
      <c r="X2" s="6" t="s">
        <v>33</v>
      </c>
      <c r="Y2" s="6" t="s">
        <v>34</v>
      </c>
      <c r="Z2" s="6" t="s">
        <v>35</v>
      </c>
      <c r="AA2" s="6" t="s">
        <v>36</v>
      </c>
      <c r="AB2" s="6" t="s">
        <v>163</v>
      </c>
      <c r="AC2" s="6" t="s">
        <v>38</v>
      </c>
      <c r="AD2" s="6" t="s">
        <v>39</v>
      </c>
      <c r="AE2" s="6" t="s">
        <v>40</v>
      </c>
      <c r="AF2" s="6" t="s">
        <v>41</v>
      </c>
      <c r="AG2" s="11" t="s">
        <v>42</v>
      </c>
      <c r="AH2" s="11" t="s">
        <v>43</v>
      </c>
      <c r="AI2" s="11" t="s">
        <v>44</v>
      </c>
      <c r="AJ2" s="11" t="s">
        <v>45</v>
      </c>
      <c r="AK2" s="11" t="s">
        <v>46</v>
      </c>
      <c r="AL2" s="11" t="s">
        <v>47</v>
      </c>
      <c r="AM2" s="11" t="s">
        <v>48</v>
      </c>
      <c r="AN2" s="9" t="s">
        <v>49</v>
      </c>
      <c r="AO2" s="5" t="s">
        <v>50</v>
      </c>
      <c r="AP2" s="5" t="s">
        <v>51</v>
      </c>
      <c r="AQ2" s="5" t="s">
        <v>52</v>
      </c>
      <c r="AR2" s="6" t="s">
        <v>53</v>
      </c>
      <c r="AS2" s="6" t="s">
        <v>54</v>
      </c>
      <c r="AT2" s="11" t="s">
        <v>55</v>
      </c>
      <c r="AU2" s="11" t="s">
        <v>56</v>
      </c>
      <c r="AV2" s="11" t="s">
        <v>57</v>
      </c>
      <c r="AW2" s="11" t="s">
        <v>58</v>
      </c>
      <c r="AX2" s="11" t="s">
        <v>59</v>
      </c>
      <c r="AY2" s="8"/>
      <c r="AZ2" s="15"/>
      <c r="BA2" s="15"/>
    </row>
    <row r="3">
      <c r="A3" s="1" t="s">
        <v>60</v>
      </c>
      <c r="B3" s="16" t="s">
        <v>61</v>
      </c>
      <c r="C3" s="17" t="str">
        <f>IMAGE("https://drive.google.com/uc?export=view&amp;id=1JfDAvAaE1rIL4McPdY6qIwUyGyYuehhp", 4, 100, 100)</f>
        <v/>
      </c>
      <c r="D3" s="2" t="s">
        <v>62</v>
      </c>
      <c r="E3" s="2" t="s">
        <v>63</v>
      </c>
      <c r="F3" s="18"/>
      <c r="G3" s="21"/>
      <c r="H3" s="21" t="s">
        <v>164</v>
      </c>
      <c r="I3" s="21" t="s">
        <v>165</v>
      </c>
      <c r="J3" s="22" t="s">
        <v>166</v>
      </c>
      <c r="K3" s="22" t="s">
        <v>167</v>
      </c>
      <c r="L3" s="21"/>
      <c r="M3" s="21" t="s">
        <v>168</v>
      </c>
      <c r="N3" s="21" t="s">
        <v>168</v>
      </c>
      <c r="O3" s="21" t="s">
        <v>168</v>
      </c>
      <c r="P3" s="21" t="s">
        <v>169</v>
      </c>
      <c r="Q3" s="21" t="s">
        <v>170</v>
      </c>
      <c r="R3" s="21" t="s">
        <v>171</v>
      </c>
      <c r="S3" s="18"/>
      <c r="T3" s="18"/>
      <c r="U3" s="18"/>
      <c r="V3" s="22" t="s">
        <v>172</v>
      </c>
      <c r="W3" s="18"/>
      <c r="X3" s="21" t="s">
        <v>173</v>
      </c>
      <c r="Y3" s="18"/>
      <c r="Z3" s="18"/>
      <c r="AA3" s="18"/>
      <c r="AB3" s="18"/>
      <c r="AC3" s="22" t="s">
        <v>173</v>
      </c>
      <c r="AD3" s="18"/>
      <c r="AE3" s="18"/>
      <c r="AF3" s="18"/>
      <c r="AG3" s="18"/>
      <c r="AH3" s="18"/>
      <c r="AI3" s="18"/>
      <c r="AJ3" s="18"/>
      <c r="AK3" s="18"/>
      <c r="AL3" s="18"/>
      <c r="AM3" s="18"/>
      <c r="AN3" s="18"/>
      <c r="AO3" s="18"/>
      <c r="AP3" s="18"/>
      <c r="AQ3" s="18"/>
      <c r="AR3" s="18"/>
      <c r="AS3" s="18"/>
      <c r="AT3" s="18"/>
      <c r="AU3" s="18"/>
      <c r="AV3" s="18"/>
      <c r="AW3" s="18"/>
      <c r="AX3" s="18"/>
      <c r="AY3" s="18"/>
      <c r="AZ3" s="15"/>
      <c r="BA3" s="15"/>
    </row>
    <row r="4">
      <c r="A4" s="1" t="s">
        <v>64</v>
      </c>
      <c r="B4" s="16" t="s">
        <v>65</v>
      </c>
      <c r="C4" s="17" t="str">
        <f>IMAGE("https://drive.google.com/uc?export=view&amp;id=1J49Gfc4bVzKuvxGkpv8zv6guWvnnY3EA", 4, 100, 100)</f>
        <v/>
      </c>
      <c r="D4" s="2" t="s">
        <v>66</v>
      </c>
      <c r="E4" s="2" t="s">
        <v>67</v>
      </c>
      <c r="F4" s="18"/>
      <c r="G4" s="18"/>
      <c r="H4" s="21" t="s">
        <v>164</v>
      </c>
      <c r="I4" s="21" t="s">
        <v>165</v>
      </c>
      <c r="J4" s="22" t="s">
        <v>166</v>
      </c>
      <c r="K4" s="22" t="s">
        <v>167</v>
      </c>
      <c r="L4" s="18"/>
      <c r="M4" s="21" t="s">
        <v>168</v>
      </c>
      <c r="N4" s="21" t="s">
        <v>168</v>
      </c>
      <c r="O4" s="21" t="s">
        <v>168</v>
      </c>
      <c r="P4" s="21" t="s">
        <v>169</v>
      </c>
      <c r="Q4" s="21" t="s">
        <v>174</v>
      </c>
      <c r="R4" s="21" t="s">
        <v>175</v>
      </c>
      <c r="S4" s="18"/>
      <c r="T4" s="18"/>
      <c r="U4" s="18"/>
      <c r="V4" s="18"/>
      <c r="W4" s="18"/>
      <c r="X4" s="21" t="s">
        <v>173</v>
      </c>
      <c r="Y4" s="21" t="s">
        <v>176</v>
      </c>
      <c r="Z4" s="18"/>
      <c r="AA4" s="18"/>
      <c r="AB4" s="21" t="s">
        <v>166</v>
      </c>
      <c r="AC4" s="22" t="s">
        <v>173</v>
      </c>
      <c r="AD4" s="18"/>
      <c r="AE4" s="21" t="s">
        <v>166</v>
      </c>
      <c r="AF4" s="21" t="s">
        <v>177</v>
      </c>
      <c r="AG4" s="18"/>
      <c r="AH4" s="18"/>
      <c r="AI4" s="18"/>
      <c r="AJ4" s="18"/>
      <c r="AK4" s="18"/>
      <c r="AL4" s="18"/>
      <c r="AM4" s="18"/>
      <c r="AN4" s="21" t="s">
        <v>178</v>
      </c>
      <c r="AO4" s="18"/>
      <c r="AP4" s="18"/>
      <c r="AQ4" s="18"/>
      <c r="AR4" s="18"/>
      <c r="AS4" s="18"/>
      <c r="AT4" s="21" t="s">
        <v>179</v>
      </c>
      <c r="AU4" s="18"/>
      <c r="AV4" s="18"/>
      <c r="AW4" s="18"/>
      <c r="AX4" s="18"/>
      <c r="AY4" s="18"/>
      <c r="AZ4" s="15"/>
      <c r="BA4" s="15"/>
    </row>
    <row r="5" ht="193.5" customHeight="1">
      <c r="A5" s="1" t="s">
        <v>68</v>
      </c>
      <c r="B5" s="16" t="s">
        <v>69</v>
      </c>
      <c r="C5" s="17" t="str">
        <f>IMAGE("https://drive.google.com/uc?export=view&amp;id=1MXEcWSpl0gmzjGsPlEMoQtvPfqe0d_jr", 4, 100, 100)</f>
        <v/>
      </c>
      <c r="D5" s="2" t="s">
        <v>70</v>
      </c>
      <c r="E5" s="2" t="s">
        <v>71</v>
      </c>
      <c r="F5" s="18"/>
      <c r="G5" s="18"/>
      <c r="H5" s="21" t="s">
        <v>164</v>
      </c>
      <c r="I5" s="21" t="s">
        <v>165</v>
      </c>
      <c r="J5" s="22" t="s">
        <v>166</v>
      </c>
      <c r="K5" s="22" t="s">
        <v>167</v>
      </c>
      <c r="L5" s="21" t="s">
        <v>180</v>
      </c>
      <c r="M5" s="21" t="s">
        <v>168</v>
      </c>
      <c r="N5" s="21" t="s">
        <v>168</v>
      </c>
      <c r="O5" s="21" t="s">
        <v>168</v>
      </c>
      <c r="P5" s="21" t="s">
        <v>169</v>
      </c>
      <c r="Q5" s="21" t="s">
        <v>174</v>
      </c>
      <c r="R5" s="21" t="s">
        <v>181</v>
      </c>
      <c r="S5" s="18"/>
      <c r="T5" s="18"/>
      <c r="U5" s="21" t="s">
        <v>182</v>
      </c>
      <c r="V5" s="18"/>
      <c r="W5" s="22" t="s">
        <v>183</v>
      </c>
      <c r="X5" s="21" t="s">
        <v>184</v>
      </c>
      <c r="Y5" s="21" t="s">
        <v>185</v>
      </c>
      <c r="Z5" s="21" t="s">
        <v>186</v>
      </c>
      <c r="AA5" s="21" t="s">
        <v>187</v>
      </c>
      <c r="AB5" s="21" t="s">
        <v>166</v>
      </c>
      <c r="AC5" s="22" t="s">
        <v>184</v>
      </c>
      <c r="AD5" s="21" t="s">
        <v>184</v>
      </c>
      <c r="AE5" s="21" t="s">
        <v>166</v>
      </c>
      <c r="AF5" s="21" t="s">
        <v>177</v>
      </c>
      <c r="AG5" s="21" t="s">
        <v>188</v>
      </c>
      <c r="AH5" s="22" t="s">
        <v>189</v>
      </c>
      <c r="AI5" s="18"/>
      <c r="AJ5" s="18"/>
      <c r="AK5" s="18"/>
      <c r="AL5" s="18"/>
      <c r="AM5" s="18"/>
      <c r="AN5" s="18"/>
      <c r="AO5" s="18"/>
      <c r="AP5" s="18"/>
      <c r="AQ5" s="18"/>
      <c r="AR5" s="18"/>
      <c r="AS5" s="18"/>
      <c r="AT5" s="18"/>
      <c r="AU5" s="18"/>
      <c r="AV5" s="18"/>
      <c r="AW5" s="18"/>
      <c r="AX5" s="18"/>
      <c r="AY5" s="18"/>
      <c r="AZ5" s="23" t="s">
        <v>190</v>
      </c>
      <c r="BA5" s="15"/>
    </row>
    <row r="6">
      <c r="A6" s="1" t="s">
        <v>72</v>
      </c>
      <c r="B6" s="16" t="s">
        <v>73</v>
      </c>
      <c r="C6" s="17" t="str">
        <f>IMAGE("https://drive.google.com/uc?export=view&amp;id=1Ojazvc8xkFii9uqOHBl6y4Vihx433y5v", 4, 100, 100)</f>
        <v/>
      </c>
      <c r="D6" s="2" t="s">
        <v>74</v>
      </c>
      <c r="E6" s="2" t="s">
        <v>75</v>
      </c>
      <c r="F6" s="18"/>
      <c r="G6" s="18"/>
      <c r="H6" s="21" t="s">
        <v>164</v>
      </c>
      <c r="I6" s="21" t="s">
        <v>165</v>
      </c>
      <c r="J6" s="22" t="s">
        <v>166</v>
      </c>
      <c r="K6" s="22" t="s">
        <v>191</v>
      </c>
      <c r="L6" s="21" t="s">
        <v>192</v>
      </c>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5"/>
      <c r="BA6" s="15"/>
    </row>
    <row r="7">
      <c r="A7" s="1" t="s">
        <v>76</v>
      </c>
      <c r="B7" s="16" t="s">
        <v>77</v>
      </c>
      <c r="C7" s="17" t="str">
        <f>IMAGE("https://drive.google.com/uc?export=view&amp;id=1yngs7LqTHvGIMbqZ4hcwG79ijEFgnPnk", 4, 100, 100)</f>
        <v/>
      </c>
      <c r="D7" s="2" t="s">
        <v>78</v>
      </c>
      <c r="E7" s="2" t="s">
        <v>79</v>
      </c>
      <c r="F7" s="18"/>
      <c r="G7" s="18"/>
      <c r="H7" s="21" t="s">
        <v>164</v>
      </c>
      <c r="I7" s="21" t="s">
        <v>165</v>
      </c>
      <c r="J7" s="22" t="s">
        <v>193</v>
      </c>
      <c r="K7" s="22" t="s">
        <v>191</v>
      </c>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5"/>
      <c r="BA7" s="15"/>
    </row>
    <row r="8">
      <c r="A8" s="1" t="s">
        <v>80</v>
      </c>
      <c r="B8" s="16" t="s">
        <v>81</v>
      </c>
      <c r="C8" s="17" t="str">
        <f>IMAGE("https://drive.google.com/uc?export=view&amp;id=1XduVUue6rnheAMdlVSEYV0_eFu0geikY", 4, 100, 100)</f>
        <v/>
      </c>
      <c r="D8" s="2" t="s">
        <v>82</v>
      </c>
      <c r="E8" s="2" t="s">
        <v>83</v>
      </c>
      <c r="F8" s="18"/>
      <c r="G8" s="18"/>
      <c r="H8" s="21" t="s">
        <v>164</v>
      </c>
      <c r="I8" s="21" t="s">
        <v>194</v>
      </c>
      <c r="J8" s="22" t="s">
        <v>193</v>
      </c>
      <c r="K8" s="22" t="s">
        <v>191</v>
      </c>
      <c r="L8" s="18"/>
      <c r="M8" s="21" t="s">
        <v>195</v>
      </c>
      <c r="N8" s="21" t="s">
        <v>196</v>
      </c>
      <c r="O8" s="21" t="s">
        <v>168</v>
      </c>
      <c r="P8" s="21" t="s">
        <v>169</v>
      </c>
      <c r="Q8" s="21" t="s">
        <v>174</v>
      </c>
      <c r="R8" s="21" t="s">
        <v>197</v>
      </c>
      <c r="S8" s="18"/>
      <c r="T8" s="18"/>
      <c r="U8" s="18"/>
      <c r="V8" s="18"/>
      <c r="W8" s="18"/>
      <c r="X8" s="21" t="s">
        <v>196</v>
      </c>
      <c r="Y8" s="18"/>
      <c r="Z8" s="18"/>
      <c r="AA8" s="21" t="s">
        <v>198</v>
      </c>
      <c r="AB8" s="21" t="s">
        <v>199</v>
      </c>
      <c r="AC8" s="22" t="s">
        <v>184</v>
      </c>
      <c r="AD8" s="21" t="s">
        <v>184</v>
      </c>
      <c r="AE8" s="21" t="s">
        <v>200</v>
      </c>
      <c r="AF8" s="21" t="s">
        <v>201</v>
      </c>
      <c r="AG8" s="21" t="s">
        <v>188</v>
      </c>
      <c r="AH8" s="18"/>
      <c r="AI8" s="18"/>
      <c r="AJ8" s="21" t="s">
        <v>42</v>
      </c>
      <c r="AK8" s="18"/>
      <c r="AL8" s="18"/>
      <c r="AM8" s="18"/>
      <c r="AN8" s="21" t="s">
        <v>178</v>
      </c>
      <c r="AO8" s="22" t="s">
        <v>202</v>
      </c>
      <c r="AP8" s="18"/>
      <c r="AQ8" s="18"/>
      <c r="AR8" s="21" t="s">
        <v>203</v>
      </c>
      <c r="AS8" s="18"/>
      <c r="AT8" s="18"/>
      <c r="AU8" s="18"/>
      <c r="AV8" s="18"/>
      <c r="AW8" s="21" t="s">
        <v>204</v>
      </c>
      <c r="AX8" s="18"/>
      <c r="AY8" s="18"/>
      <c r="AZ8" s="24" t="s">
        <v>205</v>
      </c>
      <c r="BA8" s="15"/>
    </row>
    <row r="9">
      <c r="A9" s="1" t="s">
        <v>84</v>
      </c>
      <c r="B9" s="16" t="s">
        <v>85</v>
      </c>
      <c r="C9" s="17" t="str">
        <f>IMAGE("https://drive.google.com/uc?export=view&amp;id=1-Xm53O1x22DSK1K9TYpva2sulz1oWVOa", 4, 100, 100)</f>
        <v/>
      </c>
      <c r="D9" s="2" t="s">
        <v>86</v>
      </c>
      <c r="E9" s="2" t="s">
        <v>87</v>
      </c>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5"/>
      <c r="BA9" s="15"/>
    </row>
    <row r="10">
      <c r="A10" s="1" t="s">
        <v>88</v>
      </c>
      <c r="B10" s="16" t="s">
        <v>89</v>
      </c>
      <c r="C10" s="17" t="str">
        <f>IMAGE("https://drive.google.com/uc?export=view&amp;id=1AKoQ-XoHxuN3UKw5aylfpyQpV97sQmO0", 4, 100, 100)</f>
        <v/>
      </c>
      <c r="D10" s="2" t="s">
        <v>90</v>
      </c>
      <c r="E10" s="2" t="s">
        <v>91</v>
      </c>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5"/>
      <c r="BA10" s="15"/>
    </row>
    <row r="11">
      <c r="A11" s="1" t="s">
        <v>92</v>
      </c>
      <c r="B11" s="16" t="s">
        <v>93</v>
      </c>
      <c r="C11" s="17" t="str">
        <f>IMAGE("https://drive.google.com/uc?export=view&amp;id=1Oza3KMMixd8mOEaWvtNzFsH-1Pr5dzqD", 4, 100, 100)</f>
        <v/>
      </c>
      <c r="D11" s="2" t="s">
        <v>94</v>
      </c>
      <c r="E11" s="2" t="s">
        <v>95</v>
      </c>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5"/>
      <c r="BA11" s="15"/>
    </row>
    <row r="12">
      <c r="A12" s="1" t="s">
        <v>96</v>
      </c>
      <c r="B12" s="16" t="s">
        <v>97</v>
      </c>
      <c r="C12" s="17" t="str">
        <f>IMAGE("https://drive.google.com/uc?export=view&amp;id=1Tvarsnfxg3ZicRhH_EuUxr7IryjTQtan", 4, 100, 100)</f>
        <v/>
      </c>
      <c r="D12" s="2" t="s">
        <v>98</v>
      </c>
      <c r="E12" s="2" t="s">
        <v>99</v>
      </c>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5"/>
      <c r="BA12" s="15"/>
    </row>
    <row r="13">
      <c r="A13" s="1" t="s">
        <v>100</v>
      </c>
      <c r="B13" s="16" t="s">
        <v>101</v>
      </c>
      <c r="C13" s="17" t="str">
        <f>IMAGE("https://drive.google.com/uc?export=view&amp;id=1EHae-Ca2CBMJdJuhDkP2spQhUDSyj10i", 4, 100, 100)</f>
        <v/>
      </c>
      <c r="D13" s="2" t="s">
        <v>102</v>
      </c>
      <c r="E13" s="2" t="s">
        <v>103</v>
      </c>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5"/>
      <c r="BA13" s="15"/>
    </row>
    <row r="14">
      <c r="A14" s="1" t="s">
        <v>104</v>
      </c>
      <c r="B14" s="16" t="s">
        <v>105</v>
      </c>
      <c r="C14" s="17" t="str">
        <f>IMAGE("https://drive.google.com/uc?export=view&amp;id=1k6ocBN2POcpbbuWgsadcrC99GfnEruXp", 4, 100, 100)</f>
        <v/>
      </c>
      <c r="D14" s="2" t="s">
        <v>106</v>
      </c>
      <c r="E14" s="2" t="s">
        <v>107</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5"/>
      <c r="BA14" s="15"/>
    </row>
    <row r="15">
      <c r="A15" s="1" t="s">
        <v>108</v>
      </c>
      <c r="B15" s="16" t="s">
        <v>109</v>
      </c>
      <c r="C15" s="17" t="str">
        <f>IMAGE("https://drive.google.com/uc?export=view&amp;id=1fQ5fzHB40zNWUeTpYSybFMA2Dlrud6kE", 4, 100, 100)</f>
        <v/>
      </c>
      <c r="D15" s="2" t="s">
        <v>110</v>
      </c>
      <c r="E15" s="2" t="s">
        <v>111</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5"/>
      <c r="BA15" s="15"/>
    </row>
    <row r="16">
      <c r="A16" s="18" t="s">
        <v>112</v>
      </c>
      <c r="B16" s="19" t="s">
        <v>113</v>
      </c>
      <c r="C16" s="18" t="str">
        <f>IMAGE("https://drive.google.com/uc?export=view&amp;id=1PEmnXKGzEAE6R6ujZHg4395Yhnf2_hr1", 4, 100, 100)</f>
        <v/>
      </c>
      <c r="D16" s="18" t="s">
        <v>114</v>
      </c>
      <c r="E16" s="18" t="s">
        <v>115</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5"/>
      <c r="BA16" s="15"/>
    </row>
    <row r="17">
      <c r="A17" s="18" t="s">
        <v>116</v>
      </c>
      <c r="B17" s="19" t="s">
        <v>117</v>
      </c>
      <c r="C17" s="18" t="str">
        <f>IMAGE("https://drive.google.com/uc?export=view&amp;id=1WaMnz7zHb9TT-9HdnDTWqCipzP2WUDeC", 4, 100, 100)</f>
        <v/>
      </c>
      <c r="D17" s="18" t="s">
        <v>118</v>
      </c>
      <c r="E17" s="18" t="s">
        <v>119</v>
      </c>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5"/>
      <c r="BA17" s="15"/>
    </row>
    <row r="18">
      <c r="A18" s="18" t="s">
        <v>120</v>
      </c>
      <c r="B18" s="19" t="s">
        <v>121</v>
      </c>
      <c r="C18" s="18" t="str">
        <f>IMAGE("https://drive.google.com/uc?export=view&amp;id=1G2iVRAc-wwWShkVRL0AKNU-0VV6yeL3z", 4, 100, 100)</f>
        <v/>
      </c>
      <c r="D18" s="18" t="s">
        <v>122</v>
      </c>
      <c r="E18" s="18" t="s">
        <v>123</v>
      </c>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5"/>
      <c r="BA18" s="15"/>
    </row>
    <row r="19">
      <c r="A19" s="18" t="s">
        <v>124</v>
      </c>
      <c r="B19" s="19" t="s">
        <v>125</v>
      </c>
      <c r="C19" s="18" t="str">
        <f>IMAGE("https://drive.google.com/uc?export=view&amp;id=1zKhKTKuGvJnm9JXoxXWPPXwt4iaGy9me", 4, 100, 100)</f>
        <v/>
      </c>
      <c r="D19" s="18" t="s">
        <v>126</v>
      </c>
      <c r="E19" s="18" t="s">
        <v>127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5"/>
      <c r="BA19" s="15"/>
    </row>
    <row r="20">
      <c r="A20" s="18" t="s">
        <v>128</v>
      </c>
      <c r="B20" s="19" t="s">
        <v>129</v>
      </c>
      <c r="C20" s="18" t="str">
        <f>IMAGE("https://drive.google.com/uc?export=view&amp;id=1T-C7az6LA7d6ilR2-8OVVge6p-QGQKNb", 4, 100, 100)</f>
        <v/>
      </c>
      <c r="D20" s="18" t="s">
        <v>130</v>
      </c>
      <c r="E20" s="18" t="s">
        <v>131</v>
      </c>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5"/>
      <c r="BA20" s="15"/>
    </row>
    <row r="21">
      <c r="A21" s="18" t="s">
        <v>132</v>
      </c>
      <c r="B21" s="19" t="s">
        <v>133</v>
      </c>
      <c r="C21" s="18" t="str">
        <f>IMAGE("https://drive.google.com/uc?export=view&amp;id=1v3yqvG3AnzAIJ-27p1yyxsCi1gPz8qHw", 4, 100, 100)</f>
        <v/>
      </c>
      <c r="D21" s="18"/>
      <c r="E21" s="18" t="s">
        <v>134</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5"/>
      <c r="BA21" s="15"/>
    </row>
    <row r="22">
      <c r="A22" s="18" t="s">
        <v>135</v>
      </c>
      <c r="B22" s="19" t="s">
        <v>136</v>
      </c>
      <c r="C22" s="18" t="str">
        <f>IMAGE("https://drive.google.com/uc?export=view&amp;id=1MPK78hSHQF5tKdHs_OW6gKK0os6QzK3Z", 4, 100, 100)</f>
        <v/>
      </c>
      <c r="D22" s="18" t="s">
        <v>137</v>
      </c>
      <c r="E22" s="18" t="s">
        <v>138</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5"/>
      <c r="BA22" s="15"/>
    </row>
    <row r="23">
      <c r="A23" s="18" t="s">
        <v>139</v>
      </c>
      <c r="B23" s="19" t="s">
        <v>140</v>
      </c>
      <c r="C23" s="18" t="str">
        <f>IMAGE("https://drive.google.com/uc?export=view&amp;id=1hVIQ94OMOM0cxx7ZMFtTxfRGK9KOOO72", 4, 100, 100)</f>
        <v/>
      </c>
      <c r="D23" s="18" t="s">
        <v>141</v>
      </c>
      <c r="E23" s="18" t="s">
        <v>142</v>
      </c>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5"/>
      <c r="BA23" s="15"/>
    </row>
    <row r="24">
      <c r="A24" s="18" t="s">
        <v>143</v>
      </c>
      <c r="B24" s="19" t="s">
        <v>144</v>
      </c>
      <c r="C24" s="18" t="str">
        <f>IMAGE("https://drive.google.com/uc?export=view&amp;id=1MF18VZ3Gg0nqxVOr847-ZKeaHwh1f96A", 4, 100, 100)</f>
        <v/>
      </c>
      <c r="D24" s="18" t="s">
        <v>145</v>
      </c>
      <c r="E24" s="18" t="s">
        <v>146</v>
      </c>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5"/>
      <c r="BA24" s="15"/>
    </row>
    <row r="25">
      <c r="A25" s="18" t="s">
        <v>147</v>
      </c>
      <c r="B25" s="19" t="s">
        <v>148</v>
      </c>
      <c r="C25" s="18" t="str">
        <f>IMAGE("https://drive.google.com/uc?export=view&amp;id=10OJ0Pn5arPbG9i0iBMLNeYEeIfQqm59t", 4, 100, 100)</f>
        <v/>
      </c>
      <c r="D25" s="18" t="s">
        <v>149</v>
      </c>
      <c r="E25" s="18" t="s">
        <v>150</v>
      </c>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5"/>
      <c r="BA25" s="15"/>
    </row>
    <row r="26">
      <c r="A26" s="18" t="s">
        <v>151</v>
      </c>
      <c r="B26" s="19" t="s">
        <v>152</v>
      </c>
      <c r="C26" s="18" t="str">
        <f>IMAGE("https://drive.google.com/uc?export=view&amp;id=1Wziz8h0r6udpZ1wfItrx7JKtrM27M27S", 4, 100, 100)</f>
        <v/>
      </c>
      <c r="D26" s="18" t="s">
        <v>153</v>
      </c>
      <c r="E26" s="18" t="s">
        <v>154</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5"/>
      <c r="BA26" s="15"/>
    </row>
    <row r="27">
      <c r="A27" s="18" t="s">
        <v>155</v>
      </c>
      <c r="B27" s="19" t="s">
        <v>156</v>
      </c>
      <c r="C27" s="18" t="str">
        <f>IMAGE("https://drive.google.com/uc?export=view&amp;id=1L0VvmY8MKQMF9gNobEM7o68_AOovAHPb", 4, 100, 100)</f>
        <v/>
      </c>
      <c r="D27" s="18" t="s">
        <v>157</v>
      </c>
      <c r="E27" s="18" t="s">
        <v>158</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5"/>
      <c r="BA27" s="15"/>
    </row>
    <row r="28">
      <c r="A28" s="18" t="s">
        <v>159</v>
      </c>
      <c r="B28" s="19" t="s">
        <v>160</v>
      </c>
      <c r="C28" s="18" t="str">
        <f>IMAGE("https://drive.google.com/uc?export=view&amp;id=1IkVYI75k3Fli1oZOgVFA_Qnh4VjbZEoG", 4, 100, 100)</f>
        <v/>
      </c>
      <c r="D28" s="18" t="s">
        <v>161</v>
      </c>
      <c r="E28" s="18" t="s">
        <v>162</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5"/>
      <c r="BA28" s="15"/>
    </row>
    <row r="29">
      <c r="D29" s="20"/>
      <c r="E29" s="20"/>
    </row>
    <row r="30">
      <c r="D30" s="20"/>
      <c r="E30" s="20"/>
    </row>
    <row r="31">
      <c r="D31" s="20"/>
      <c r="E31" s="20"/>
    </row>
    <row r="32">
      <c r="D32" s="20"/>
      <c r="E32" s="20"/>
    </row>
    <row r="33">
      <c r="D33" s="20"/>
      <c r="E33" s="20"/>
    </row>
    <row r="34">
      <c r="D34" s="20"/>
      <c r="E34" s="20"/>
    </row>
    <row r="35">
      <c r="D35" s="20"/>
      <c r="E35" s="20"/>
    </row>
    <row r="36">
      <c r="D36" s="20"/>
      <c r="E36" s="20"/>
    </row>
    <row r="37">
      <c r="D37" s="20"/>
      <c r="E37" s="20"/>
    </row>
    <row r="38">
      <c r="D38" s="20"/>
      <c r="E38" s="20"/>
    </row>
    <row r="39">
      <c r="D39" s="20"/>
      <c r="E39" s="20"/>
    </row>
    <row r="40">
      <c r="D40" s="20"/>
      <c r="E40" s="20"/>
    </row>
    <row r="41">
      <c r="D41" s="20"/>
      <c r="E41" s="20"/>
    </row>
    <row r="42">
      <c r="D42" s="20"/>
      <c r="E42" s="20"/>
    </row>
    <row r="43">
      <c r="D43" s="20"/>
      <c r="E43" s="20"/>
    </row>
    <row r="44">
      <c r="D44" s="20"/>
      <c r="E44" s="20"/>
    </row>
    <row r="45">
      <c r="D45" s="20"/>
      <c r="E45" s="20"/>
    </row>
    <row r="46">
      <c r="D46" s="20"/>
      <c r="E46" s="20"/>
    </row>
    <row r="47">
      <c r="D47" s="20"/>
      <c r="E47" s="20"/>
    </row>
    <row r="48">
      <c r="D48" s="20"/>
      <c r="E48" s="20"/>
    </row>
    <row r="49">
      <c r="D49" s="20"/>
      <c r="E49" s="20"/>
    </row>
    <row r="50">
      <c r="D50" s="20"/>
      <c r="E50" s="20"/>
    </row>
    <row r="51">
      <c r="D51" s="20"/>
      <c r="E51" s="20"/>
    </row>
    <row r="52">
      <c r="D52" s="20"/>
      <c r="E52" s="20"/>
    </row>
    <row r="53">
      <c r="D53" s="20"/>
      <c r="E53" s="20"/>
    </row>
    <row r="54">
      <c r="D54" s="20"/>
      <c r="E54" s="20"/>
    </row>
    <row r="55">
      <c r="D55" s="20"/>
      <c r="E55" s="20"/>
    </row>
    <row r="56">
      <c r="D56" s="20"/>
      <c r="E56" s="20"/>
    </row>
    <row r="57">
      <c r="D57" s="20"/>
      <c r="E57" s="20"/>
    </row>
    <row r="58">
      <c r="D58" s="20"/>
      <c r="E58" s="20"/>
    </row>
    <row r="59">
      <c r="D59" s="20"/>
      <c r="E59" s="20"/>
    </row>
    <row r="60">
      <c r="D60" s="20"/>
      <c r="E60" s="20"/>
    </row>
    <row r="61">
      <c r="D61" s="20"/>
      <c r="E61" s="20"/>
    </row>
    <row r="62">
      <c r="D62" s="20"/>
      <c r="E62" s="20"/>
    </row>
    <row r="63">
      <c r="D63" s="20"/>
      <c r="E63" s="20"/>
    </row>
    <row r="64">
      <c r="D64" s="20"/>
      <c r="E64" s="20"/>
    </row>
    <row r="65">
      <c r="D65" s="20"/>
      <c r="E65" s="20"/>
    </row>
    <row r="66">
      <c r="D66" s="20"/>
      <c r="E66" s="20"/>
    </row>
    <row r="67">
      <c r="D67" s="20"/>
      <c r="E67" s="20"/>
    </row>
    <row r="68">
      <c r="D68" s="20"/>
      <c r="E68" s="20"/>
    </row>
    <row r="69">
      <c r="D69" s="20"/>
      <c r="E69" s="20"/>
    </row>
    <row r="70">
      <c r="D70" s="20"/>
      <c r="E70" s="20"/>
    </row>
    <row r="71">
      <c r="D71" s="20"/>
      <c r="E71" s="20"/>
    </row>
    <row r="72">
      <c r="D72" s="20"/>
      <c r="E72" s="20"/>
    </row>
    <row r="73">
      <c r="D73" s="20"/>
      <c r="E73" s="20"/>
    </row>
    <row r="74">
      <c r="D74" s="20"/>
      <c r="E74" s="20"/>
    </row>
    <row r="75">
      <c r="D75" s="20"/>
      <c r="E75" s="20"/>
    </row>
    <row r="76">
      <c r="D76" s="20"/>
      <c r="E76" s="20"/>
    </row>
    <row r="77">
      <c r="D77" s="20"/>
      <c r="E77" s="20"/>
    </row>
    <row r="78">
      <c r="D78" s="20"/>
      <c r="E78" s="20"/>
    </row>
    <row r="79">
      <c r="D79" s="20"/>
      <c r="E79" s="20"/>
    </row>
    <row r="80">
      <c r="D80" s="20"/>
      <c r="E80" s="20"/>
    </row>
    <row r="81">
      <c r="D81" s="20"/>
      <c r="E81" s="20"/>
    </row>
    <row r="82">
      <c r="D82" s="20"/>
      <c r="E82" s="20"/>
    </row>
    <row r="83">
      <c r="D83" s="20"/>
      <c r="E83" s="20"/>
    </row>
    <row r="84">
      <c r="D84" s="20"/>
      <c r="E84" s="20"/>
    </row>
    <row r="85">
      <c r="D85" s="20"/>
      <c r="E85" s="20"/>
    </row>
    <row r="86">
      <c r="D86" s="20"/>
      <c r="E86" s="20"/>
    </row>
    <row r="87">
      <c r="D87" s="20"/>
      <c r="E87" s="20"/>
    </row>
    <row r="88">
      <c r="D88" s="20"/>
      <c r="E88" s="20"/>
    </row>
    <row r="89">
      <c r="D89" s="20"/>
      <c r="E89" s="20"/>
    </row>
    <row r="90">
      <c r="D90" s="20"/>
      <c r="E90" s="20"/>
    </row>
    <row r="91">
      <c r="D91" s="20"/>
      <c r="E91" s="20"/>
    </row>
    <row r="92">
      <c r="D92" s="20"/>
      <c r="E92" s="20"/>
    </row>
    <row r="93">
      <c r="D93" s="20"/>
      <c r="E93" s="20"/>
    </row>
    <row r="94">
      <c r="D94" s="20"/>
      <c r="E94" s="20"/>
    </row>
    <row r="95">
      <c r="D95" s="20"/>
      <c r="E95" s="20"/>
    </row>
    <row r="96">
      <c r="D96" s="20"/>
      <c r="E96" s="20"/>
    </row>
    <row r="97">
      <c r="D97" s="20"/>
      <c r="E97" s="20"/>
    </row>
    <row r="98">
      <c r="D98" s="20"/>
      <c r="E98" s="20"/>
    </row>
    <row r="99">
      <c r="D99" s="20"/>
      <c r="E99" s="20"/>
    </row>
    <row r="100">
      <c r="D100" s="20"/>
      <c r="E100" s="20"/>
    </row>
    <row r="101">
      <c r="D101" s="20"/>
      <c r="E101" s="20"/>
    </row>
    <row r="102">
      <c r="D102" s="20"/>
      <c r="E102" s="20"/>
    </row>
    <row r="103">
      <c r="D103" s="20"/>
      <c r="E103" s="20"/>
    </row>
    <row r="104">
      <c r="D104" s="20"/>
      <c r="E104" s="20"/>
    </row>
    <row r="105">
      <c r="D105" s="20"/>
      <c r="E105" s="20"/>
    </row>
    <row r="106">
      <c r="D106" s="20"/>
      <c r="E106" s="20"/>
    </row>
    <row r="107">
      <c r="D107" s="20"/>
      <c r="E107" s="20"/>
    </row>
    <row r="108">
      <c r="D108" s="20"/>
      <c r="E108" s="20"/>
    </row>
    <row r="109">
      <c r="D109" s="20"/>
      <c r="E109" s="20"/>
    </row>
    <row r="110">
      <c r="D110" s="20"/>
      <c r="E110" s="20"/>
    </row>
    <row r="111">
      <c r="D111" s="20"/>
      <c r="E111" s="20"/>
    </row>
    <row r="112">
      <c r="D112" s="20"/>
      <c r="E112" s="20"/>
    </row>
    <row r="113">
      <c r="D113" s="20"/>
      <c r="E113" s="20"/>
    </row>
    <row r="114">
      <c r="D114" s="20"/>
      <c r="E114" s="20"/>
    </row>
    <row r="115">
      <c r="D115" s="20"/>
      <c r="E115" s="20"/>
    </row>
    <row r="116">
      <c r="D116" s="20"/>
      <c r="E116" s="20"/>
    </row>
    <row r="117">
      <c r="D117" s="20"/>
      <c r="E117" s="20"/>
    </row>
    <row r="118">
      <c r="D118" s="20"/>
      <c r="E118" s="20"/>
    </row>
    <row r="119">
      <c r="D119" s="20"/>
      <c r="E119" s="20"/>
    </row>
    <row r="120">
      <c r="D120" s="20"/>
      <c r="E120" s="20"/>
    </row>
    <row r="121">
      <c r="D121" s="20"/>
      <c r="E121" s="20"/>
    </row>
    <row r="122">
      <c r="D122" s="20"/>
      <c r="E122" s="20"/>
    </row>
    <row r="123">
      <c r="D123" s="20"/>
      <c r="E123" s="20"/>
    </row>
    <row r="124">
      <c r="D124" s="20"/>
      <c r="E124" s="20"/>
    </row>
    <row r="125">
      <c r="D125" s="20"/>
      <c r="E125" s="20"/>
    </row>
    <row r="126">
      <c r="D126" s="20"/>
      <c r="E126" s="20"/>
    </row>
    <row r="127">
      <c r="D127" s="20"/>
      <c r="E127" s="20"/>
    </row>
    <row r="128">
      <c r="D128" s="20"/>
      <c r="E128" s="20"/>
    </row>
    <row r="129">
      <c r="D129" s="20"/>
      <c r="E129" s="20"/>
    </row>
    <row r="130">
      <c r="D130" s="20"/>
      <c r="E130" s="20"/>
    </row>
    <row r="131">
      <c r="D131" s="20"/>
      <c r="E131" s="20"/>
    </row>
    <row r="132">
      <c r="D132" s="20"/>
      <c r="E132" s="20"/>
    </row>
    <row r="133">
      <c r="D133" s="20"/>
      <c r="E133" s="20"/>
    </row>
    <row r="134">
      <c r="D134" s="20"/>
      <c r="E134" s="20"/>
    </row>
    <row r="135">
      <c r="D135" s="20"/>
      <c r="E135" s="20"/>
    </row>
    <row r="136">
      <c r="D136" s="20"/>
      <c r="E136" s="20"/>
    </row>
    <row r="137">
      <c r="D137" s="20"/>
      <c r="E137" s="20"/>
    </row>
    <row r="138">
      <c r="D138" s="20"/>
      <c r="E138" s="20"/>
    </row>
    <row r="139">
      <c r="D139" s="20"/>
      <c r="E139" s="20"/>
    </row>
    <row r="140">
      <c r="D140" s="20"/>
      <c r="E140" s="20"/>
    </row>
    <row r="141">
      <c r="D141" s="20"/>
      <c r="E141" s="20"/>
    </row>
    <row r="142">
      <c r="D142" s="20"/>
      <c r="E142" s="20"/>
    </row>
    <row r="143">
      <c r="D143" s="20"/>
      <c r="E143" s="20"/>
    </row>
    <row r="144">
      <c r="D144" s="20"/>
      <c r="E144" s="20"/>
    </row>
    <row r="145">
      <c r="D145" s="20"/>
      <c r="E145" s="20"/>
    </row>
    <row r="146">
      <c r="D146" s="20"/>
      <c r="E146" s="20"/>
    </row>
    <row r="147">
      <c r="D147" s="20"/>
      <c r="E147" s="20"/>
    </row>
    <row r="148">
      <c r="D148" s="20"/>
      <c r="E148" s="20"/>
    </row>
    <row r="149">
      <c r="D149" s="20"/>
      <c r="E149" s="20"/>
    </row>
    <row r="150">
      <c r="D150" s="20"/>
      <c r="E150" s="20"/>
    </row>
    <row r="151">
      <c r="D151" s="20"/>
      <c r="E151" s="20"/>
    </row>
    <row r="152">
      <c r="D152" s="20"/>
      <c r="E152" s="20"/>
    </row>
    <row r="153">
      <c r="D153" s="20"/>
      <c r="E153" s="20"/>
    </row>
    <row r="154">
      <c r="D154" s="20"/>
      <c r="E154" s="20"/>
    </row>
    <row r="155">
      <c r="D155" s="20"/>
      <c r="E155" s="20"/>
    </row>
    <row r="156">
      <c r="D156" s="20"/>
      <c r="E156" s="20"/>
    </row>
    <row r="157">
      <c r="D157" s="20"/>
      <c r="E157" s="20"/>
    </row>
    <row r="158">
      <c r="D158" s="20"/>
      <c r="E158" s="20"/>
    </row>
    <row r="159">
      <c r="D159" s="20"/>
      <c r="E159" s="20"/>
    </row>
    <row r="160">
      <c r="D160" s="20"/>
      <c r="E160" s="20"/>
    </row>
    <row r="161">
      <c r="D161" s="20"/>
      <c r="E161" s="20"/>
    </row>
    <row r="162">
      <c r="D162" s="20"/>
      <c r="E162" s="20"/>
    </row>
    <row r="163">
      <c r="D163" s="20"/>
      <c r="E163" s="20"/>
    </row>
    <row r="164">
      <c r="D164" s="20"/>
      <c r="E164" s="20"/>
    </row>
    <row r="165">
      <c r="D165" s="20"/>
      <c r="E165" s="20"/>
    </row>
    <row r="166">
      <c r="D166" s="20"/>
      <c r="E166" s="20"/>
    </row>
    <row r="167">
      <c r="D167" s="20"/>
      <c r="E167" s="20"/>
    </row>
    <row r="168">
      <c r="D168" s="20"/>
      <c r="E168" s="20"/>
    </row>
    <row r="169">
      <c r="D169" s="20"/>
      <c r="E169" s="20"/>
    </row>
    <row r="170">
      <c r="D170" s="20"/>
      <c r="E170" s="20"/>
    </row>
    <row r="171">
      <c r="D171" s="20"/>
      <c r="E171" s="20"/>
    </row>
    <row r="172">
      <c r="D172" s="20"/>
      <c r="E172" s="20"/>
    </row>
    <row r="173">
      <c r="D173" s="20"/>
      <c r="E173" s="20"/>
    </row>
    <row r="174">
      <c r="D174" s="20"/>
      <c r="E174" s="20"/>
    </row>
    <row r="175">
      <c r="D175" s="20"/>
      <c r="E175" s="20"/>
    </row>
    <row r="176">
      <c r="D176" s="20"/>
      <c r="E176" s="20"/>
    </row>
    <row r="177">
      <c r="D177" s="20"/>
      <c r="E177" s="20"/>
    </row>
    <row r="178">
      <c r="D178" s="20"/>
      <c r="E178" s="20"/>
    </row>
    <row r="179">
      <c r="D179" s="20"/>
      <c r="E179" s="20"/>
    </row>
    <row r="180">
      <c r="D180" s="20"/>
      <c r="E180" s="20"/>
    </row>
    <row r="181">
      <c r="D181" s="20"/>
      <c r="E181" s="20"/>
    </row>
    <row r="182">
      <c r="D182" s="20"/>
      <c r="E182" s="20"/>
    </row>
    <row r="183">
      <c r="D183" s="20"/>
      <c r="E183" s="20"/>
    </row>
    <row r="184">
      <c r="D184" s="20"/>
      <c r="E184" s="20"/>
    </row>
    <row r="185">
      <c r="D185" s="20"/>
      <c r="E185" s="20"/>
    </row>
    <row r="186">
      <c r="D186" s="20"/>
      <c r="E186" s="20"/>
    </row>
    <row r="187">
      <c r="D187" s="20"/>
      <c r="E187" s="20"/>
    </row>
    <row r="188">
      <c r="D188" s="20"/>
      <c r="E188" s="20"/>
    </row>
    <row r="189">
      <c r="D189" s="20"/>
      <c r="E189" s="20"/>
    </row>
    <row r="190">
      <c r="D190" s="20"/>
      <c r="E190" s="20"/>
    </row>
    <row r="191">
      <c r="D191" s="20"/>
      <c r="E191" s="20"/>
    </row>
    <row r="192">
      <c r="D192" s="20"/>
      <c r="E192" s="20"/>
    </row>
    <row r="193">
      <c r="D193" s="20"/>
      <c r="E193" s="20"/>
    </row>
    <row r="194">
      <c r="D194" s="20"/>
      <c r="E194" s="20"/>
    </row>
    <row r="195">
      <c r="D195" s="20"/>
      <c r="E195" s="20"/>
    </row>
    <row r="196">
      <c r="D196" s="20"/>
      <c r="E196" s="20"/>
    </row>
    <row r="197">
      <c r="D197" s="20"/>
      <c r="E197" s="20"/>
    </row>
    <row r="198">
      <c r="D198" s="20"/>
      <c r="E198" s="20"/>
    </row>
    <row r="199">
      <c r="D199" s="20"/>
      <c r="E199" s="20"/>
    </row>
    <row r="200">
      <c r="D200" s="20"/>
      <c r="E200" s="20"/>
    </row>
    <row r="201">
      <c r="D201" s="20"/>
      <c r="E201" s="20"/>
    </row>
    <row r="202">
      <c r="D202" s="20"/>
      <c r="E202" s="20"/>
    </row>
    <row r="203">
      <c r="D203" s="20"/>
      <c r="E203" s="20"/>
    </row>
    <row r="204">
      <c r="D204" s="20"/>
      <c r="E204" s="20"/>
    </row>
    <row r="205">
      <c r="D205" s="20"/>
      <c r="E205" s="20"/>
    </row>
    <row r="206">
      <c r="D206" s="20"/>
      <c r="E206" s="20"/>
    </row>
    <row r="207">
      <c r="D207" s="20"/>
      <c r="E207" s="20"/>
    </row>
    <row r="208">
      <c r="D208" s="20"/>
      <c r="E208" s="20"/>
    </row>
    <row r="209">
      <c r="D209" s="20"/>
      <c r="E209" s="20"/>
    </row>
    <row r="210">
      <c r="D210" s="20"/>
      <c r="E210" s="20"/>
    </row>
    <row r="211">
      <c r="D211" s="20"/>
      <c r="E211" s="20"/>
    </row>
    <row r="212">
      <c r="D212" s="20"/>
      <c r="E212" s="20"/>
    </row>
    <row r="213">
      <c r="D213" s="20"/>
      <c r="E213" s="20"/>
    </row>
    <row r="214">
      <c r="D214" s="20"/>
      <c r="E214" s="20"/>
    </row>
    <row r="215">
      <c r="D215" s="20"/>
      <c r="E215" s="20"/>
    </row>
    <row r="216">
      <c r="D216" s="20"/>
      <c r="E216" s="20"/>
    </row>
    <row r="217">
      <c r="D217" s="20"/>
      <c r="E217" s="20"/>
    </row>
    <row r="218">
      <c r="D218" s="20"/>
      <c r="E218" s="20"/>
    </row>
    <row r="219">
      <c r="D219" s="20"/>
      <c r="E219" s="20"/>
    </row>
    <row r="220">
      <c r="D220" s="20"/>
      <c r="E220" s="20"/>
    </row>
    <row r="221">
      <c r="D221" s="20"/>
      <c r="E221" s="20"/>
    </row>
    <row r="222">
      <c r="D222" s="20"/>
      <c r="E222" s="20"/>
    </row>
    <row r="223">
      <c r="D223" s="20"/>
      <c r="E223" s="20"/>
    </row>
    <row r="224">
      <c r="D224" s="20"/>
      <c r="E224" s="20"/>
    </row>
    <row r="225">
      <c r="D225" s="20"/>
      <c r="E225" s="20"/>
    </row>
    <row r="226">
      <c r="D226" s="20"/>
      <c r="E226" s="20"/>
    </row>
    <row r="227">
      <c r="D227" s="20"/>
      <c r="E227" s="20"/>
    </row>
    <row r="228">
      <c r="D228" s="20"/>
      <c r="E228" s="20"/>
    </row>
    <row r="229">
      <c r="D229" s="20"/>
      <c r="E229" s="20"/>
    </row>
    <row r="230">
      <c r="D230" s="20"/>
      <c r="E230" s="20"/>
    </row>
    <row r="231">
      <c r="D231" s="20"/>
      <c r="E231" s="20"/>
    </row>
    <row r="232">
      <c r="D232" s="20"/>
      <c r="E232" s="20"/>
    </row>
    <row r="233">
      <c r="D233" s="20"/>
      <c r="E233" s="20"/>
    </row>
    <row r="234">
      <c r="D234" s="20"/>
      <c r="E234" s="20"/>
    </row>
    <row r="235">
      <c r="D235" s="20"/>
      <c r="E235" s="20"/>
    </row>
    <row r="236">
      <c r="D236" s="20"/>
      <c r="E236" s="20"/>
    </row>
    <row r="237">
      <c r="D237" s="20"/>
      <c r="E237" s="20"/>
    </row>
    <row r="238">
      <c r="D238" s="20"/>
      <c r="E238" s="20"/>
    </row>
    <row r="239">
      <c r="D239" s="20"/>
      <c r="E239" s="20"/>
    </row>
    <row r="240">
      <c r="D240" s="20"/>
      <c r="E240" s="20"/>
    </row>
    <row r="241">
      <c r="D241" s="20"/>
      <c r="E241" s="20"/>
    </row>
    <row r="242">
      <c r="D242" s="20"/>
      <c r="E242" s="20"/>
    </row>
    <row r="243">
      <c r="D243" s="20"/>
      <c r="E243" s="20"/>
    </row>
    <row r="244">
      <c r="D244" s="20"/>
      <c r="E244" s="20"/>
    </row>
    <row r="245">
      <c r="D245" s="20"/>
      <c r="E245" s="20"/>
    </row>
    <row r="246">
      <c r="D246" s="20"/>
      <c r="E246" s="20"/>
    </row>
    <row r="247">
      <c r="D247" s="20"/>
      <c r="E247" s="20"/>
    </row>
    <row r="248">
      <c r="D248" s="20"/>
      <c r="E248" s="20"/>
    </row>
    <row r="249">
      <c r="D249" s="20"/>
      <c r="E249" s="20"/>
    </row>
    <row r="250">
      <c r="D250" s="20"/>
      <c r="E250" s="20"/>
    </row>
    <row r="251">
      <c r="D251" s="20"/>
      <c r="E251" s="20"/>
    </row>
    <row r="252">
      <c r="D252" s="20"/>
      <c r="E252" s="20"/>
    </row>
    <row r="253">
      <c r="D253" s="20"/>
      <c r="E253" s="20"/>
    </row>
    <row r="254">
      <c r="D254" s="20"/>
      <c r="E254" s="20"/>
    </row>
    <row r="255">
      <c r="D255" s="20"/>
      <c r="E255" s="20"/>
    </row>
    <row r="256">
      <c r="D256" s="20"/>
      <c r="E256" s="20"/>
    </row>
    <row r="257">
      <c r="D257" s="20"/>
      <c r="E257" s="20"/>
    </row>
    <row r="258">
      <c r="D258" s="20"/>
      <c r="E258" s="20"/>
    </row>
    <row r="259">
      <c r="D259" s="20"/>
      <c r="E259" s="20"/>
    </row>
    <row r="260">
      <c r="D260" s="20"/>
      <c r="E260" s="20"/>
    </row>
    <row r="261">
      <c r="D261" s="20"/>
      <c r="E261" s="20"/>
    </row>
    <row r="262">
      <c r="D262" s="20"/>
      <c r="E262" s="20"/>
    </row>
    <row r="263">
      <c r="D263" s="20"/>
      <c r="E263" s="20"/>
    </row>
    <row r="264">
      <c r="D264" s="20"/>
      <c r="E264" s="20"/>
    </row>
    <row r="265">
      <c r="D265" s="20"/>
      <c r="E265" s="20"/>
    </row>
    <row r="266">
      <c r="D266" s="20"/>
      <c r="E266" s="20"/>
    </row>
    <row r="267">
      <c r="D267" s="20"/>
      <c r="E267" s="20"/>
    </row>
    <row r="268">
      <c r="D268" s="20"/>
      <c r="E268" s="20"/>
    </row>
    <row r="269">
      <c r="D269" s="20"/>
      <c r="E269" s="20"/>
    </row>
    <row r="270">
      <c r="D270" s="20"/>
      <c r="E270" s="20"/>
    </row>
    <row r="271">
      <c r="D271" s="20"/>
      <c r="E271" s="20"/>
    </row>
    <row r="272">
      <c r="D272" s="20"/>
      <c r="E272" s="20"/>
    </row>
    <row r="273">
      <c r="D273" s="20"/>
      <c r="E273" s="20"/>
    </row>
    <row r="274">
      <c r="D274" s="20"/>
      <c r="E274" s="20"/>
    </row>
    <row r="275">
      <c r="D275" s="20"/>
      <c r="E275" s="20"/>
    </row>
    <row r="276">
      <c r="D276" s="20"/>
      <c r="E276" s="20"/>
    </row>
    <row r="277">
      <c r="D277" s="20"/>
      <c r="E277" s="20"/>
    </row>
    <row r="278">
      <c r="D278" s="20"/>
      <c r="E278" s="20"/>
    </row>
    <row r="279">
      <c r="D279" s="20"/>
      <c r="E279" s="20"/>
    </row>
    <row r="280">
      <c r="D280" s="20"/>
      <c r="E280" s="20"/>
    </row>
    <row r="281">
      <c r="D281" s="20"/>
      <c r="E281" s="20"/>
    </row>
    <row r="282">
      <c r="D282" s="20"/>
      <c r="E282" s="20"/>
    </row>
    <row r="283">
      <c r="D283" s="20"/>
      <c r="E283" s="20"/>
    </row>
    <row r="284">
      <c r="D284" s="20"/>
      <c r="E284" s="20"/>
    </row>
    <row r="285">
      <c r="D285" s="20"/>
      <c r="E285" s="20"/>
    </row>
    <row r="286">
      <c r="D286" s="20"/>
      <c r="E286" s="20"/>
    </row>
    <row r="287">
      <c r="D287" s="20"/>
      <c r="E287" s="20"/>
    </row>
    <row r="288">
      <c r="D288" s="20"/>
      <c r="E288" s="20"/>
    </row>
    <row r="289">
      <c r="D289" s="20"/>
      <c r="E289" s="20"/>
    </row>
    <row r="290">
      <c r="D290" s="20"/>
      <c r="E290" s="20"/>
    </row>
    <row r="291">
      <c r="D291" s="20"/>
      <c r="E291" s="20"/>
    </row>
    <row r="292">
      <c r="D292" s="20"/>
      <c r="E292" s="20"/>
    </row>
    <row r="293">
      <c r="D293" s="20"/>
      <c r="E293" s="20"/>
    </row>
    <row r="294">
      <c r="D294" s="20"/>
      <c r="E294" s="20"/>
    </row>
    <row r="295">
      <c r="D295" s="20"/>
      <c r="E295" s="20"/>
    </row>
    <row r="296">
      <c r="D296" s="20"/>
      <c r="E296" s="20"/>
    </row>
    <row r="297">
      <c r="D297" s="20"/>
      <c r="E297" s="20"/>
    </row>
    <row r="298">
      <c r="D298" s="20"/>
      <c r="E298" s="20"/>
    </row>
    <row r="299">
      <c r="D299" s="20"/>
      <c r="E299" s="20"/>
    </row>
    <row r="300">
      <c r="D300" s="20"/>
      <c r="E300" s="20"/>
    </row>
    <row r="301">
      <c r="D301" s="20"/>
      <c r="E301" s="20"/>
    </row>
    <row r="302">
      <c r="D302" s="20"/>
      <c r="E302" s="20"/>
    </row>
    <row r="303">
      <c r="D303" s="20"/>
      <c r="E303" s="20"/>
    </row>
    <row r="304">
      <c r="D304" s="20"/>
      <c r="E304" s="20"/>
    </row>
    <row r="305">
      <c r="D305" s="20"/>
      <c r="E305" s="20"/>
    </row>
    <row r="306">
      <c r="D306" s="20"/>
      <c r="E306" s="20"/>
    </row>
    <row r="307">
      <c r="D307" s="20"/>
      <c r="E307" s="20"/>
    </row>
    <row r="308">
      <c r="D308" s="20"/>
      <c r="E308" s="20"/>
    </row>
    <row r="309">
      <c r="D309" s="20"/>
      <c r="E309" s="20"/>
    </row>
    <row r="310">
      <c r="D310" s="20"/>
      <c r="E310" s="20"/>
    </row>
    <row r="311">
      <c r="D311" s="20"/>
      <c r="E311" s="20"/>
    </row>
    <row r="312">
      <c r="D312" s="20"/>
      <c r="E312" s="20"/>
    </row>
    <row r="313">
      <c r="D313" s="20"/>
      <c r="E313" s="20"/>
    </row>
    <row r="314">
      <c r="D314" s="20"/>
      <c r="E314" s="20"/>
    </row>
    <row r="315">
      <c r="D315" s="20"/>
      <c r="E315" s="20"/>
    </row>
    <row r="316">
      <c r="D316" s="20"/>
      <c r="E316" s="20"/>
    </row>
    <row r="317">
      <c r="D317" s="20"/>
      <c r="E317" s="20"/>
    </row>
    <row r="318">
      <c r="D318" s="20"/>
      <c r="E318" s="20"/>
    </row>
    <row r="319">
      <c r="D319" s="20"/>
      <c r="E319" s="20"/>
    </row>
    <row r="320">
      <c r="D320" s="20"/>
      <c r="E320" s="20"/>
    </row>
    <row r="321">
      <c r="D321" s="20"/>
      <c r="E321" s="20"/>
    </row>
    <row r="322">
      <c r="D322" s="20"/>
      <c r="E322" s="20"/>
    </row>
    <row r="323">
      <c r="D323" s="20"/>
      <c r="E323" s="20"/>
    </row>
    <row r="324">
      <c r="D324" s="20"/>
      <c r="E324" s="20"/>
    </row>
    <row r="325">
      <c r="D325" s="20"/>
      <c r="E325" s="20"/>
    </row>
    <row r="326">
      <c r="D326" s="20"/>
      <c r="E326" s="20"/>
    </row>
    <row r="327">
      <c r="D327" s="20"/>
      <c r="E327" s="20"/>
    </row>
    <row r="328">
      <c r="D328" s="20"/>
      <c r="E328" s="20"/>
    </row>
    <row r="329">
      <c r="D329" s="20"/>
      <c r="E329" s="20"/>
    </row>
    <row r="330">
      <c r="D330" s="20"/>
      <c r="E330" s="20"/>
    </row>
    <row r="331">
      <c r="D331" s="20"/>
      <c r="E331" s="20"/>
    </row>
    <row r="332">
      <c r="D332" s="20"/>
      <c r="E332" s="20"/>
    </row>
    <row r="333">
      <c r="D333" s="20"/>
      <c r="E333" s="20"/>
    </row>
    <row r="334">
      <c r="D334" s="20"/>
      <c r="E334" s="20"/>
    </row>
    <row r="335">
      <c r="D335" s="20"/>
      <c r="E335" s="20"/>
    </row>
    <row r="336">
      <c r="D336" s="20"/>
      <c r="E336" s="20"/>
    </row>
    <row r="337">
      <c r="D337" s="20"/>
      <c r="E337" s="20"/>
    </row>
    <row r="338">
      <c r="D338" s="20"/>
      <c r="E338" s="20"/>
    </row>
    <row r="339">
      <c r="D339" s="20"/>
      <c r="E339" s="20"/>
    </row>
    <row r="340">
      <c r="D340" s="20"/>
      <c r="E340" s="20"/>
    </row>
    <row r="341">
      <c r="D341" s="20"/>
      <c r="E341" s="20"/>
    </row>
    <row r="342">
      <c r="D342" s="20"/>
      <c r="E342" s="20"/>
    </row>
    <row r="343">
      <c r="D343" s="20"/>
      <c r="E343" s="20"/>
    </row>
    <row r="344">
      <c r="D344" s="20"/>
      <c r="E344" s="20"/>
    </row>
    <row r="345">
      <c r="D345" s="20"/>
      <c r="E345" s="20"/>
    </row>
    <row r="346">
      <c r="D346" s="20"/>
      <c r="E346" s="20"/>
    </row>
    <row r="347">
      <c r="D347" s="20"/>
      <c r="E347" s="20"/>
    </row>
    <row r="348">
      <c r="D348" s="20"/>
      <c r="E348" s="20"/>
    </row>
    <row r="349">
      <c r="D349" s="20"/>
      <c r="E349" s="20"/>
    </row>
    <row r="350">
      <c r="D350" s="20"/>
      <c r="E350" s="20"/>
    </row>
    <row r="351">
      <c r="D351" s="20"/>
      <c r="E351" s="20"/>
    </row>
    <row r="352">
      <c r="D352" s="20"/>
      <c r="E352" s="20"/>
    </row>
    <row r="353">
      <c r="D353" s="20"/>
      <c r="E353" s="20"/>
    </row>
    <row r="354">
      <c r="D354" s="20"/>
      <c r="E354" s="20"/>
    </row>
    <row r="355">
      <c r="D355" s="20"/>
      <c r="E355" s="20"/>
    </row>
    <row r="356">
      <c r="D356" s="20"/>
      <c r="E356" s="20"/>
    </row>
    <row r="357">
      <c r="D357" s="20"/>
      <c r="E357" s="20"/>
    </row>
    <row r="358">
      <c r="D358" s="20"/>
      <c r="E358" s="20"/>
    </row>
    <row r="359">
      <c r="D359" s="20"/>
      <c r="E359" s="20"/>
    </row>
    <row r="360">
      <c r="D360" s="20"/>
      <c r="E360" s="20"/>
    </row>
    <row r="361">
      <c r="D361" s="20"/>
      <c r="E361" s="20"/>
    </row>
    <row r="362">
      <c r="D362" s="20"/>
      <c r="E362" s="20"/>
    </row>
    <row r="363">
      <c r="D363" s="20"/>
      <c r="E363" s="20"/>
    </row>
    <row r="364">
      <c r="D364" s="20"/>
      <c r="E364" s="20"/>
    </row>
    <row r="365">
      <c r="D365" s="20"/>
      <c r="E365" s="20"/>
    </row>
    <row r="366">
      <c r="D366" s="20"/>
      <c r="E366" s="20"/>
    </row>
    <row r="367">
      <c r="D367" s="20"/>
      <c r="E367" s="20"/>
    </row>
    <row r="368">
      <c r="D368" s="20"/>
      <c r="E368" s="20"/>
    </row>
    <row r="369">
      <c r="D369" s="20"/>
      <c r="E369" s="20"/>
    </row>
    <row r="370">
      <c r="D370" s="20"/>
      <c r="E370" s="20"/>
    </row>
    <row r="371">
      <c r="D371" s="20"/>
      <c r="E371" s="20"/>
    </row>
    <row r="372">
      <c r="D372" s="20"/>
      <c r="E372" s="20"/>
    </row>
    <row r="373">
      <c r="D373" s="20"/>
      <c r="E373" s="20"/>
    </row>
    <row r="374">
      <c r="D374" s="20"/>
      <c r="E374" s="20"/>
    </row>
    <row r="375">
      <c r="D375" s="20"/>
      <c r="E375" s="20"/>
    </row>
    <row r="376">
      <c r="D376" s="20"/>
      <c r="E376" s="20"/>
    </row>
    <row r="377">
      <c r="D377" s="20"/>
      <c r="E377" s="20"/>
    </row>
    <row r="378">
      <c r="D378" s="20"/>
      <c r="E378" s="20"/>
    </row>
    <row r="379">
      <c r="D379" s="20"/>
      <c r="E379" s="20"/>
    </row>
    <row r="380">
      <c r="D380" s="20"/>
      <c r="E380" s="20"/>
    </row>
    <row r="381">
      <c r="D381" s="20"/>
      <c r="E381" s="20"/>
    </row>
    <row r="382">
      <c r="D382" s="20"/>
      <c r="E382" s="20"/>
    </row>
    <row r="383">
      <c r="D383" s="20"/>
      <c r="E383" s="20"/>
    </row>
    <row r="384">
      <c r="D384" s="20"/>
      <c r="E384" s="20"/>
    </row>
    <row r="385">
      <c r="D385" s="20"/>
      <c r="E385" s="20"/>
    </row>
    <row r="386">
      <c r="D386" s="20"/>
      <c r="E386" s="20"/>
    </row>
    <row r="387">
      <c r="D387" s="20"/>
      <c r="E387" s="20"/>
    </row>
    <row r="388">
      <c r="D388" s="20"/>
      <c r="E388" s="20"/>
    </row>
    <row r="389">
      <c r="D389" s="20"/>
      <c r="E389" s="20"/>
    </row>
    <row r="390">
      <c r="D390" s="20"/>
      <c r="E390" s="20"/>
    </row>
    <row r="391">
      <c r="D391" s="20"/>
      <c r="E391" s="20"/>
    </row>
    <row r="392">
      <c r="D392" s="20"/>
      <c r="E392" s="20"/>
    </row>
    <row r="393">
      <c r="D393" s="20"/>
      <c r="E393" s="20"/>
    </row>
    <row r="394">
      <c r="D394" s="20"/>
      <c r="E394" s="20"/>
    </row>
    <row r="395">
      <c r="D395" s="20"/>
      <c r="E395" s="20"/>
    </row>
    <row r="396">
      <c r="D396" s="20"/>
      <c r="E396" s="20"/>
    </row>
    <row r="397">
      <c r="D397" s="20"/>
      <c r="E397" s="20"/>
    </row>
    <row r="398">
      <c r="D398" s="20"/>
      <c r="E398" s="20"/>
    </row>
    <row r="399">
      <c r="D399" s="20"/>
      <c r="E399" s="20"/>
    </row>
    <row r="400">
      <c r="D400" s="20"/>
      <c r="E400" s="20"/>
    </row>
    <row r="401">
      <c r="D401" s="20"/>
      <c r="E401" s="20"/>
    </row>
    <row r="402">
      <c r="D402" s="20"/>
      <c r="E402" s="20"/>
    </row>
    <row r="403">
      <c r="D403" s="20"/>
      <c r="E403" s="20"/>
    </row>
    <row r="404">
      <c r="D404" s="20"/>
      <c r="E404" s="20"/>
    </row>
    <row r="405">
      <c r="D405" s="20"/>
      <c r="E405" s="20"/>
    </row>
    <row r="406">
      <c r="D406" s="20"/>
      <c r="E406" s="20"/>
    </row>
    <row r="407">
      <c r="D407" s="20"/>
      <c r="E407" s="20"/>
    </row>
    <row r="408">
      <c r="D408" s="20"/>
      <c r="E408" s="20"/>
    </row>
    <row r="409">
      <c r="D409" s="20"/>
      <c r="E409" s="20"/>
    </row>
    <row r="410">
      <c r="D410" s="20"/>
      <c r="E410" s="20"/>
    </row>
    <row r="411">
      <c r="D411" s="20"/>
      <c r="E411" s="20"/>
    </row>
    <row r="412">
      <c r="D412" s="20"/>
      <c r="E412" s="20"/>
    </row>
    <row r="413">
      <c r="D413" s="20"/>
      <c r="E413" s="20"/>
    </row>
    <row r="414">
      <c r="D414" s="20"/>
      <c r="E414" s="20"/>
    </row>
    <row r="415">
      <c r="D415" s="20"/>
      <c r="E415" s="20"/>
    </row>
    <row r="416">
      <c r="D416" s="20"/>
      <c r="E416" s="20"/>
    </row>
    <row r="417">
      <c r="D417" s="20"/>
      <c r="E417" s="20"/>
    </row>
    <row r="418">
      <c r="D418" s="20"/>
      <c r="E418" s="20"/>
    </row>
    <row r="419">
      <c r="D419" s="20"/>
      <c r="E419" s="20"/>
    </row>
    <row r="420">
      <c r="D420" s="20"/>
      <c r="E420" s="20"/>
    </row>
    <row r="421">
      <c r="D421" s="20"/>
      <c r="E421" s="20"/>
    </row>
    <row r="422">
      <c r="D422" s="20"/>
      <c r="E422" s="20"/>
    </row>
    <row r="423">
      <c r="D423" s="20"/>
      <c r="E423" s="20"/>
    </row>
    <row r="424">
      <c r="D424" s="20"/>
      <c r="E424" s="20"/>
    </row>
    <row r="425">
      <c r="D425" s="20"/>
      <c r="E425" s="20"/>
    </row>
    <row r="426">
      <c r="D426" s="20"/>
      <c r="E426" s="20"/>
    </row>
    <row r="427">
      <c r="D427" s="20"/>
      <c r="E427" s="20"/>
    </row>
    <row r="428">
      <c r="D428" s="20"/>
      <c r="E428" s="20"/>
    </row>
    <row r="429">
      <c r="D429" s="20"/>
      <c r="E429" s="20"/>
    </row>
    <row r="430">
      <c r="D430" s="20"/>
      <c r="E430" s="20"/>
    </row>
    <row r="431">
      <c r="D431" s="20"/>
      <c r="E431" s="20"/>
    </row>
    <row r="432">
      <c r="D432" s="20"/>
      <c r="E432" s="20"/>
    </row>
    <row r="433">
      <c r="D433" s="20"/>
      <c r="E433" s="20"/>
    </row>
    <row r="434">
      <c r="D434" s="20"/>
      <c r="E434" s="20"/>
    </row>
    <row r="435">
      <c r="D435" s="20"/>
      <c r="E435" s="20"/>
    </row>
    <row r="436">
      <c r="D436" s="20"/>
      <c r="E436" s="20"/>
    </row>
    <row r="437">
      <c r="D437" s="20"/>
      <c r="E437" s="20"/>
    </row>
    <row r="438">
      <c r="D438" s="20"/>
      <c r="E438" s="20"/>
    </row>
    <row r="439">
      <c r="D439" s="20"/>
      <c r="E439" s="20"/>
    </row>
    <row r="440">
      <c r="D440" s="20"/>
      <c r="E440" s="20"/>
    </row>
    <row r="441">
      <c r="D441" s="20"/>
      <c r="E441" s="20"/>
    </row>
    <row r="442">
      <c r="D442" s="20"/>
      <c r="E442" s="20"/>
    </row>
    <row r="443">
      <c r="D443" s="20"/>
      <c r="E443" s="20"/>
    </row>
    <row r="444">
      <c r="D444" s="20"/>
      <c r="E444" s="20"/>
    </row>
    <row r="445">
      <c r="D445" s="20"/>
      <c r="E445" s="20"/>
    </row>
    <row r="446">
      <c r="D446" s="20"/>
      <c r="E446" s="20"/>
    </row>
    <row r="447">
      <c r="D447" s="20"/>
      <c r="E447" s="20"/>
    </row>
    <row r="448">
      <c r="D448" s="20"/>
      <c r="E448" s="20"/>
    </row>
    <row r="449">
      <c r="D449" s="20"/>
      <c r="E449" s="20"/>
    </row>
    <row r="450">
      <c r="D450" s="20"/>
      <c r="E450" s="20"/>
    </row>
    <row r="451">
      <c r="D451" s="20"/>
      <c r="E451" s="20"/>
    </row>
    <row r="452">
      <c r="D452" s="20"/>
      <c r="E452" s="20"/>
    </row>
    <row r="453">
      <c r="D453" s="20"/>
      <c r="E453" s="20"/>
    </row>
    <row r="454">
      <c r="D454" s="20"/>
      <c r="E454" s="20"/>
    </row>
    <row r="455">
      <c r="D455" s="20"/>
      <c r="E455" s="20"/>
    </row>
    <row r="456">
      <c r="D456" s="20"/>
      <c r="E456" s="20"/>
    </row>
    <row r="457">
      <c r="D457" s="20"/>
      <c r="E457" s="20"/>
    </row>
    <row r="458">
      <c r="D458" s="20"/>
      <c r="E458" s="20"/>
    </row>
    <row r="459">
      <c r="D459" s="20"/>
      <c r="E459" s="20"/>
    </row>
    <row r="460">
      <c r="D460" s="20"/>
      <c r="E460" s="20"/>
    </row>
    <row r="461">
      <c r="D461" s="20"/>
      <c r="E461" s="20"/>
    </row>
    <row r="462">
      <c r="D462" s="20"/>
      <c r="E462" s="20"/>
    </row>
    <row r="463">
      <c r="D463" s="20"/>
      <c r="E463" s="20"/>
    </row>
    <row r="464">
      <c r="D464" s="20"/>
      <c r="E464" s="20"/>
    </row>
    <row r="465">
      <c r="D465" s="20"/>
      <c r="E465" s="20"/>
    </row>
    <row r="466">
      <c r="D466" s="20"/>
      <c r="E466" s="20"/>
    </row>
    <row r="467">
      <c r="D467" s="20"/>
      <c r="E467" s="20"/>
    </row>
    <row r="468">
      <c r="D468" s="20"/>
      <c r="E468" s="20"/>
    </row>
    <row r="469">
      <c r="D469" s="20"/>
      <c r="E469" s="20"/>
    </row>
    <row r="470">
      <c r="D470" s="20"/>
      <c r="E470" s="20"/>
    </row>
    <row r="471">
      <c r="D471" s="20"/>
      <c r="E471" s="20"/>
    </row>
    <row r="472">
      <c r="D472" s="20"/>
      <c r="E472" s="20"/>
    </row>
    <row r="473">
      <c r="D473" s="20"/>
      <c r="E473" s="20"/>
    </row>
    <row r="474">
      <c r="D474" s="20"/>
      <c r="E474" s="20"/>
    </row>
    <row r="475">
      <c r="D475" s="20"/>
      <c r="E475" s="20"/>
    </row>
    <row r="476">
      <c r="D476" s="20"/>
      <c r="E476" s="20"/>
    </row>
    <row r="477">
      <c r="D477" s="20"/>
      <c r="E477" s="20"/>
    </row>
    <row r="478">
      <c r="D478" s="20"/>
      <c r="E478" s="20"/>
    </row>
    <row r="479">
      <c r="D479" s="20"/>
      <c r="E479" s="20"/>
    </row>
    <row r="480">
      <c r="D480" s="20"/>
      <c r="E480" s="20"/>
    </row>
    <row r="481">
      <c r="D481" s="20"/>
      <c r="E481" s="20"/>
    </row>
    <row r="482">
      <c r="D482" s="20"/>
      <c r="E482" s="20"/>
    </row>
    <row r="483">
      <c r="D483" s="20"/>
      <c r="E483" s="20"/>
    </row>
    <row r="484">
      <c r="D484" s="20"/>
      <c r="E484" s="20"/>
    </row>
    <row r="485">
      <c r="D485" s="20"/>
      <c r="E485" s="20"/>
    </row>
    <row r="486">
      <c r="D486" s="20"/>
      <c r="E486" s="20"/>
    </row>
    <row r="487">
      <c r="D487" s="20"/>
      <c r="E487" s="20"/>
    </row>
    <row r="488">
      <c r="D488" s="20"/>
      <c r="E488" s="20"/>
    </row>
    <row r="489">
      <c r="D489" s="20"/>
      <c r="E489" s="20"/>
    </row>
    <row r="490">
      <c r="D490" s="20"/>
      <c r="E490" s="20"/>
    </row>
    <row r="491">
      <c r="D491" s="20"/>
      <c r="E491" s="20"/>
    </row>
    <row r="492">
      <c r="D492" s="20"/>
      <c r="E492" s="20"/>
    </row>
    <row r="493">
      <c r="D493" s="20"/>
      <c r="E493" s="20"/>
    </row>
    <row r="494">
      <c r="D494" s="20"/>
      <c r="E494" s="20"/>
    </row>
    <row r="495">
      <c r="D495" s="20"/>
      <c r="E495" s="20"/>
    </row>
    <row r="496">
      <c r="D496" s="20"/>
      <c r="E496" s="20"/>
    </row>
    <row r="497">
      <c r="D497" s="20"/>
      <c r="E497" s="20"/>
    </row>
    <row r="498">
      <c r="D498" s="20"/>
      <c r="E498" s="20"/>
    </row>
    <row r="499">
      <c r="D499" s="20"/>
      <c r="E499" s="20"/>
    </row>
    <row r="500">
      <c r="D500" s="20"/>
      <c r="E500" s="20"/>
    </row>
    <row r="501">
      <c r="D501" s="20"/>
      <c r="E501" s="20"/>
    </row>
    <row r="502">
      <c r="D502" s="20"/>
      <c r="E502" s="20"/>
    </row>
    <row r="503">
      <c r="D503" s="20"/>
      <c r="E503" s="20"/>
    </row>
    <row r="504">
      <c r="D504" s="20"/>
      <c r="E504" s="20"/>
    </row>
    <row r="505">
      <c r="D505" s="20"/>
      <c r="E505" s="20"/>
    </row>
    <row r="506">
      <c r="D506" s="20"/>
      <c r="E506" s="20"/>
    </row>
    <row r="507">
      <c r="D507" s="20"/>
      <c r="E507" s="20"/>
    </row>
    <row r="508">
      <c r="D508" s="20"/>
      <c r="E508" s="20"/>
    </row>
    <row r="509">
      <c r="D509" s="20"/>
      <c r="E509" s="20"/>
    </row>
    <row r="510">
      <c r="D510" s="20"/>
      <c r="E510" s="20"/>
    </row>
    <row r="511">
      <c r="D511" s="20"/>
      <c r="E511" s="20"/>
    </row>
    <row r="512">
      <c r="D512" s="20"/>
      <c r="E512" s="20"/>
    </row>
    <row r="513">
      <c r="D513" s="20"/>
      <c r="E513" s="20"/>
    </row>
    <row r="514">
      <c r="D514" s="20"/>
      <c r="E514" s="20"/>
    </row>
    <row r="515">
      <c r="D515" s="20"/>
      <c r="E515" s="20"/>
    </row>
    <row r="516">
      <c r="D516" s="20"/>
      <c r="E516" s="20"/>
    </row>
    <row r="517">
      <c r="D517" s="20"/>
      <c r="E517" s="20"/>
    </row>
    <row r="518">
      <c r="D518" s="20"/>
      <c r="E518" s="20"/>
    </row>
    <row r="519">
      <c r="D519" s="20"/>
      <c r="E519" s="20"/>
    </row>
    <row r="520">
      <c r="D520" s="20"/>
      <c r="E520" s="20"/>
    </row>
    <row r="521">
      <c r="D521" s="20"/>
      <c r="E521" s="20"/>
    </row>
    <row r="522">
      <c r="D522" s="20"/>
      <c r="E522" s="20"/>
    </row>
    <row r="523">
      <c r="D523" s="20"/>
      <c r="E523" s="20"/>
    </row>
    <row r="524">
      <c r="D524" s="20"/>
      <c r="E524" s="20"/>
    </row>
    <row r="525">
      <c r="D525" s="20"/>
      <c r="E525" s="20"/>
    </row>
    <row r="526">
      <c r="D526" s="20"/>
      <c r="E526" s="20"/>
    </row>
    <row r="527">
      <c r="D527" s="20"/>
      <c r="E527" s="20"/>
    </row>
    <row r="528">
      <c r="D528" s="20"/>
      <c r="E528" s="20"/>
    </row>
    <row r="529">
      <c r="D529" s="20"/>
      <c r="E529" s="20"/>
    </row>
    <row r="530">
      <c r="D530" s="20"/>
      <c r="E530" s="20"/>
    </row>
    <row r="531">
      <c r="D531" s="20"/>
      <c r="E531" s="20"/>
    </row>
    <row r="532">
      <c r="D532" s="20"/>
      <c r="E532" s="20"/>
    </row>
    <row r="533">
      <c r="D533" s="20"/>
      <c r="E533" s="20"/>
    </row>
    <row r="534">
      <c r="D534" s="20"/>
      <c r="E534" s="20"/>
    </row>
    <row r="535">
      <c r="D535" s="20"/>
      <c r="E535" s="20"/>
    </row>
    <row r="536">
      <c r="D536" s="20"/>
      <c r="E536" s="20"/>
    </row>
    <row r="537">
      <c r="D537" s="20"/>
      <c r="E537" s="20"/>
    </row>
    <row r="538">
      <c r="D538" s="20"/>
      <c r="E538" s="20"/>
    </row>
    <row r="539">
      <c r="D539" s="20"/>
      <c r="E539" s="20"/>
    </row>
    <row r="540">
      <c r="D540" s="20"/>
      <c r="E540" s="20"/>
    </row>
    <row r="541">
      <c r="D541" s="20"/>
      <c r="E541" s="20"/>
    </row>
    <row r="542">
      <c r="D542" s="20"/>
      <c r="E542" s="20"/>
    </row>
    <row r="543">
      <c r="D543" s="20"/>
      <c r="E543" s="20"/>
    </row>
    <row r="544">
      <c r="D544" s="20"/>
      <c r="E544" s="20"/>
    </row>
    <row r="545">
      <c r="D545" s="20"/>
      <c r="E545" s="20"/>
    </row>
    <row r="546">
      <c r="D546" s="20"/>
      <c r="E546" s="20"/>
    </row>
    <row r="547">
      <c r="D547" s="20"/>
      <c r="E547" s="20"/>
    </row>
    <row r="548">
      <c r="D548" s="20"/>
      <c r="E548" s="20"/>
    </row>
    <row r="549">
      <c r="D549" s="20"/>
      <c r="E549" s="20"/>
    </row>
    <row r="550">
      <c r="D550" s="20"/>
      <c r="E550" s="20"/>
    </row>
    <row r="551">
      <c r="D551" s="20"/>
      <c r="E551" s="20"/>
    </row>
    <row r="552">
      <c r="D552" s="20"/>
      <c r="E552" s="20"/>
    </row>
    <row r="553">
      <c r="D553" s="20"/>
      <c r="E553" s="20"/>
    </row>
    <row r="554">
      <c r="D554" s="20"/>
      <c r="E554" s="20"/>
    </row>
    <row r="555">
      <c r="D555" s="20"/>
      <c r="E555" s="20"/>
    </row>
    <row r="556">
      <c r="D556" s="20"/>
      <c r="E556" s="20"/>
    </row>
    <row r="557">
      <c r="D557" s="20"/>
      <c r="E557" s="20"/>
    </row>
    <row r="558">
      <c r="D558" s="20"/>
      <c r="E558" s="20"/>
    </row>
    <row r="559">
      <c r="D559" s="20"/>
      <c r="E559" s="20"/>
    </row>
    <row r="560">
      <c r="D560" s="20"/>
      <c r="E560" s="20"/>
    </row>
    <row r="561">
      <c r="D561" s="20"/>
      <c r="E561" s="20"/>
    </row>
    <row r="562">
      <c r="D562" s="20"/>
      <c r="E562" s="20"/>
    </row>
    <row r="563">
      <c r="D563" s="20"/>
      <c r="E563" s="20"/>
    </row>
    <row r="564">
      <c r="D564" s="20"/>
      <c r="E564" s="20"/>
    </row>
    <row r="565">
      <c r="D565" s="20"/>
      <c r="E565" s="20"/>
    </row>
    <row r="566">
      <c r="D566" s="20"/>
      <c r="E566" s="20"/>
    </row>
    <row r="567">
      <c r="D567" s="20"/>
      <c r="E567" s="20"/>
    </row>
    <row r="568">
      <c r="D568" s="20"/>
      <c r="E568" s="20"/>
    </row>
    <row r="569">
      <c r="D569" s="20"/>
      <c r="E569" s="20"/>
    </row>
    <row r="570">
      <c r="D570" s="20"/>
      <c r="E570" s="20"/>
    </row>
    <row r="571">
      <c r="D571" s="20"/>
      <c r="E571" s="20"/>
    </row>
    <row r="572">
      <c r="D572" s="20"/>
      <c r="E572" s="20"/>
    </row>
    <row r="573">
      <c r="D573" s="20"/>
      <c r="E573" s="20"/>
    </row>
    <row r="574">
      <c r="D574" s="20"/>
      <c r="E574" s="20"/>
    </row>
    <row r="575">
      <c r="D575" s="20"/>
      <c r="E575" s="20"/>
    </row>
    <row r="576">
      <c r="D576" s="20"/>
      <c r="E576" s="20"/>
    </row>
    <row r="577">
      <c r="D577" s="20"/>
      <c r="E577" s="20"/>
    </row>
    <row r="578">
      <c r="D578" s="20"/>
      <c r="E578" s="20"/>
    </row>
    <row r="579">
      <c r="D579" s="20"/>
      <c r="E579" s="20"/>
    </row>
    <row r="580">
      <c r="D580" s="20"/>
      <c r="E580" s="20"/>
    </row>
    <row r="581">
      <c r="D581" s="20"/>
      <c r="E581" s="20"/>
    </row>
    <row r="582">
      <c r="D582" s="20"/>
      <c r="E582" s="20"/>
    </row>
    <row r="583">
      <c r="D583" s="20"/>
      <c r="E583" s="20"/>
    </row>
    <row r="584">
      <c r="D584" s="20"/>
      <c r="E584" s="20"/>
    </row>
    <row r="585">
      <c r="D585" s="20"/>
      <c r="E585" s="20"/>
    </row>
    <row r="586">
      <c r="D586" s="20"/>
      <c r="E586" s="20"/>
    </row>
    <row r="587">
      <c r="D587" s="20"/>
      <c r="E587" s="20"/>
    </row>
    <row r="588">
      <c r="D588" s="20"/>
      <c r="E588" s="20"/>
    </row>
    <row r="589">
      <c r="D589" s="20"/>
      <c r="E589" s="20"/>
    </row>
    <row r="590">
      <c r="D590" s="20"/>
      <c r="E590" s="20"/>
    </row>
    <row r="591">
      <c r="D591" s="20"/>
      <c r="E591" s="20"/>
    </row>
    <row r="592">
      <c r="D592" s="20"/>
      <c r="E592" s="20"/>
    </row>
    <row r="593">
      <c r="D593" s="20"/>
      <c r="E593" s="20"/>
    </row>
    <row r="594">
      <c r="D594" s="20"/>
      <c r="E594" s="20"/>
    </row>
    <row r="595">
      <c r="D595" s="20"/>
      <c r="E595" s="20"/>
    </row>
    <row r="596">
      <c r="D596" s="20"/>
      <c r="E596" s="20"/>
    </row>
    <row r="597">
      <c r="D597" s="20"/>
      <c r="E597" s="20"/>
    </row>
    <row r="598">
      <c r="D598" s="20"/>
      <c r="E598" s="20"/>
    </row>
    <row r="599">
      <c r="D599" s="20"/>
      <c r="E599" s="20"/>
    </row>
    <row r="600">
      <c r="D600" s="20"/>
      <c r="E600" s="20"/>
    </row>
    <row r="601">
      <c r="D601" s="20"/>
      <c r="E601" s="20"/>
    </row>
    <row r="602">
      <c r="D602" s="20"/>
      <c r="E602" s="20"/>
    </row>
    <row r="603">
      <c r="D603" s="20"/>
      <c r="E603" s="20"/>
    </row>
    <row r="604">
      <c r="D604" s="20"/>
      <c r="E604" s="20"/>
    </row>
    <row r="605">
      <c r="D605" s="20"/>
      <c r="E605" s="20"/>
    </row>
    <row r="606">
      <c r="D606" s="20"/>
      <c r="E606" s="20"/>
    </row>
    <row r="607">
      <c r="D607" s="20"/>
      <c r="E607" s="20"/>
    </row>
    <row r="608">
      <c r="D608" s="20"/>
      <c r="E608" s="20"/>
    </row>
    <row r="609">
      <c r="D609" s="20"/>
      <c r="E609" s="20"/>
    </row>
    <row r="610">
      <c r="D610" s="20"/>
      <c r="E610" s="20"/>
    </row>
    <row r="611">
      <c r="D611" s="20"/>
      <c r="E611" s="20"/>
    </row>
    <row r="612">
      <c r="D612" s="20"/>
      <c r="E612" s="20"/>
    </row>
    <row r="613">
      <c r="D613" s="20"/>
      <c r="E613" s="20"/>
    </row>
    <row r="614">
      <c r="D614" s="20"/>
      <c r="E614" s="20"/>
    </row>
    <row r="615">
      <c r="D615" s="20"/>
      <c r="E615" s="20"/>
    </row>
    <row r="616">
      <c r="D616" s="20"/>
      <c r="E616" s="20"/>
    </row>
    <row r="617">
      <c r="D617" s="20"/>
      <c r="E617" s="20"/>
    </row>
    <row r="618">
      <c r="D618" s="20"/>
      <c r="E618" s="20"/>
    </row>
    <row r="619">
      <c r="D619" s="20"/>
      <c r="E619" s="20"/>
    </row>
    <row r="620">
      <c r="D620" s="20"/>
      <c r="E620" s="20"/>
    </row>
    <row r="621">
      <c r="D621" s="20"/>
      <c r="E621" s="20"/>
    </row>
    <row r="622">
      <c r="D622" s="20"/>
      <c r="E622" s="20"/>
    </row>
    <row r="623">
      <c r="D623" s="20"/>
      <c r="E623" s="20"/>
    </row>
    <row r="624">
      <c r="D624" s="20"/>
      <c r="E624" s="20"/>
    </row>
    <row r="625">
      <c r="D625" s="20"/>
      <c r="E625" s="20"/>
    </row>
    <row r="626">
      <c r="D626" s="20"/>
      <c r="E626" s="20"/>
    </row>
    <row r="627">
      <c r="D627" s="20"/>
      <c r="E627" s="20"/>
    </row>
    <row r="628">
      <c r="D628" s="20"/>
      <c r="E628" s="20"/>
    </row>
    <row r="629">
      <c r="D629" s="20"/>
      <c r="E629" s="20"/>
    </row>
    <row r="630">
      <c r="D630" s="20"/>
      <c r="E630" s="20"/>
    </row>
    <row r="631">
      <c r="D631" s="20"/>
      <c r="E631" s="20"/>
    </row>
    <row r="632">
      <c r="D632" s="20"/>
      <c r="E632" s="20"/>
    </row>
    <row r="633">
      <c r="D633" s="20"/>
      <c r="E633" s="20"/>
    </row>
    <row r="634">
      <c r="D634" s="20"/>
      <c r="E634" s="20"/>
    </row>
    <row r="635">
      <c r="D635" s="20"/>
      <c r="E635" s="20"/>
    </row>
    <row r="636">
      <c r="D636" s="20"/>
      <c r="E636" s="20"/>
    </row>
    <row r="637">
      <c r="D637" s="20"/>
      <c r="E637" s="20"/>
    </row>
    <row r="638">
      <c r="D638" s="20"/>
      <c r="E638" s="20"/>
    </row>
    <row r="639">
      <c r="D639" s="20"/>
      <c r="E639" s="20"/>
    </row>
    <row r="640">
      <c r="D640" s="20"/>
      <c r="E640" s="20"/>
    </row>
    <row r="641">
      <c r="D641" s="20"/>
      <c r="E641" s="20"/>
    </row>
    <row r="642">
      <c r="D642" s="20"/>
      <c r="E642" s="20"/>
    </row>
    <row r="643">
      <c r="D643" s="20"/>
      <c r="E643" s="20"/>
    </row>
    <row r="644">
      <c r="D644" s="20"/>
      <c r="E644" s="20"/>
    </row>
    <row r="645">
      <c r="D645" s="20"/>
      <c r="E645" s="20"/>
    </row>
    <row r="646">
      <c r="D646" s="20"/>
      <c r="E646" s="20"/>
    </row>
    <row r="647">
      <c r="D647" s="20"/>
      <c r="E647" s="20"/>
    </row>
    <row r="648">
      <c r="D648" s="20"/>
      <c r="E648" s="20"/>
    </row>
    <row r="649">
      <c r="D649" s="20"/>
      <c r="E649" s="20"/>
    </row>
    <row r="650">
      <c r="D650" s="20"/>
      <c r="E650" s="20"/>
    </row>
    <row r="651">
      <c r="D651" s="20"/>
      <c r="E651" s="20"/>
    </row>
    <row r="652">
      <c r="D652" s="20"/>
      <c r="E652" s="20"/>
    </row>
    <row r="653">
      <c r="D653" s="20"/>
      <c r="E653" s="20"/>
    </row>
    <row r="654">
      <c r="D654" s="20"/>
      <c r="E654" s="20"/>
    </row>
    <row r="655">
      <c r="D655" s="20"/>
      <c r="E655" s="20"/>
    </row>
    <row r="656">
      <c r="D656" s="20"/>
      <c r="E656" s="20"/>
    </row>
    <row r="657">
      <c r="D657" s="20"/>
      <c r="E657" s="20"/>
    </row>
    <row r="658">
      <c r="D658" s="20"/>
      <c r="E658" s="20"/>
    </row>
    <row r="659">
      <c r="D659" s="20"/>
      <c r="E659" s="20"/>
    </row>
    <row r="660">
      <c r="D660" s="20"/>
      <c r="E660" s="20"/>
    </row>
    <row r="661">
      <c r="D661" s="20"/>
      <c r="E661" s="20"/>
    </row>
    <row r="662">
      <c r="D662" s="20"/>
      <c r="E662" s="20"/>
    </row>
    <row r="663">
      <c r="D663" s="20"/>
      <c r="E663" s="20"/>
    </row>
    <row r="664">
      <c r="D664" s="20"/>
      <c r="E664" s="20"/>
    </row>
    <row r="665">
      <c r="D665" s="20"/>
      <c r="E665" s="20"/>
    </row>
    <row r="666">
      <c r="D666" s="20"/>
      <c r="E666" s="20"/>
    </row>
    <row r="667">
      <c r="D667" s="20"/>
      <c r="E667" s="20"/>
    </row>
    <row r="668">
      <c r="D668" s="20"/>
      <c r="E668" s="20"/>
    </row>
    <row r="669">
      <c r="D669" s="20"/>
      <c r="E669" s="20"/>
    </row>
    <row r="670">
      <c r="D670" s="20"/>
      <c r="E670" s="20"/>
    </row>
    <row r="671">
      <c r="D671" s="20"/>
      <c r="E671" s="20"/>
    </row>
    <row r="672">
      <c r="D672" s="20"/>
      <c r="E672" s="20"/>
    </row>
    <row r="673">
      <c r="D673" s="20"/>
      <c r="E673" s="20"/>
    </row>
    <row r="674">
      <c r="D674" s="20"/>
      <c r="E674" s="20"/>
    </row>
    <row r="675">
      <c r="D675" s="20"/>
      <c r="E675" s="20"/>
    </row>
    <row r="676">
      <c r="D676" s="20"/>
      <c r="E676" s="20"/>
    </row>
    <row r="677">
      <c r="D677" s="20"/>
      <c r="E677" s="20"/>
    </row>
    <row r="678">
      <c r="D678" s="20"/>
      <c r="E678" s="20"/>
    </row>
    <row r="679">
      <c r="D679" s="20"/>
      <c r="E679" s="20"/>
    </row>
    <row r="680">
      <c r="D680" s="20"/>
      <c r="E680" s="20"/>
    </row>
    <row r="681">
      <c r="D681" s="20"/>
      <c r="E681" s="20"/>
    </row>
    <row r="682">
      <c r="D682" s="20"/>
      <c r="E682" s="20"/>
    </row>
    <row r="683">
      <c r="D683" s="20"/>
      <c r="E683" s="20"/>
    </row>
    <row r="684">
      <c r="D684" s="20"/>
      <c r="E684" s="20"/>
    </row>
    <row r="685">
      <c r="D685" s="20"/>
      <c r="E685" s="20"/>
    </row>
    <row r="686">
      <c r="D686" s="20"/>
      <c r="E686" s="20"/>
    </row>
    <row r="687">
      <c r="D687" s="20"/>
      <c r="E687" s="20"/>
    </row>
    <row r="688">
      <c r="D688" s="20"/>
      <c r="E688" s="20"/>
    </row>
    <row r="689">
      <c r="D689" s="20"/>
      <c r="E689" s="20"/>
    </row>
    <row r="690">
      <c r="D690" s="20"/>
      <c r="E690" s="20"/>
    </row>
    <row r="691">
      <c r="D691" s="20"/>
      <c r="E691" s="20"/>
    </row>
    <row r="692">
      <c r="D692" s="20"/>
      <c r="E692" s="20"/>
    </row>
    <row r="693">
      <c r="D693" s="20"/>
      <c r="E693" s="20"/>
    </row>
    <row r="694">
      <c r="D694" s="20"/>
      <c r="E694" s="20"/>
    </row>
    <row r="695">
      <c r="D695" s="20"/>
      <c r="E695" s="20"/>
    </row>
    <row r="696">
      <c r="D696" s="20"/>
      <c r="E696" s="20"/>
    </row>
    <row r="697">
      <c r="D697" s="20"/>
      <c r="E697" s="20"/>
    </row>
    <row r="698">
      <c r="D698" s="20"/>
      <c r="E698" s="20"/>
    </row>
    <row r="699">
      <c r="D699" s="20"/>
      <c r="E699" s="20"/>
    </row>
    <row r="700">
      <c r="D700" s="20"/>
      <c r="E700" s="20"/>
    </row>
    <row r="701">
      <c r="D701" s="20"/>
      <c r="E701" s="20"/>
    </row>
    <row r="702">
      <c r="D702" s="20"/>
      <c r="E702" s="20"/>
    </row>
    <row r="703">
      <c r="D703" s="20"/>
      <c r="E703" s="20"/>
    </row>
    <row r="704">
      <c r="D704" s="20"/>
      <c r="E704" s="20"/>
    </row>
    <row r="705">
      <c r="D705" s="20"/>
      <c r="E705" s="20"/>
    </row>
    <row r="706">
      <c r="D706" s="20"/>
      <c r="E706" s="20"/>
    </row>
    <row r="707">
      <c r="D707" s="20"/>
      <c r="E707" s="20"/>
    </row>
    <row r="708">
      <c r="D708" s="20"/>
      <c r="E708" s="20"/>
    </row>
    <row r="709">
      <c r="D709" s="20"/>
      <c r="E709" s="20"/>
    </row>
    <row r="710">
      <c r="D710" s="20"/>
      <c r="E710" s="20"/>
    </row>
    <row r="711">
      <c r="D711" s="20"/>
      <c r="E711" s="20"/>
    </row>
    <row r="712">
      <c r="D712" s="20"/>
      <c r="E712" s="20"/>
    </row>
    <row r="713">
      <c r="D713" s="20"/>
      <c r="E713" s="20"/>
    </row>
    <row r="714">
      <c r="D714" s="20"/>
      <c r="E714" s="20"/>
    </row>
    <row r="715">
      <c r="D715" s="20"/>
      <c r="E715" s="20"/>
    </row>
    <row r="716">
      <c r="D716" s="20"/>
      <c r="E716" s="20"/>
    </row>
    <row r="717">
      <c r="D717" s="20"/>
      <c r="E717" s="20"/>
    </row>
    <row r="718">
      <c r="D718" s="20"/>
      <c r="E718" s="20"/>
    </row>
    <row r="719">
      <c r="D719" s="20"/>
      <c r="E719" s="20"/>
    </row>
    <row r="720">
      <c r="D720" s="20"/>
      <c r="E720" s="20"/>
    </row>
    <row r="721">
      <c r="D721" s="20"/>
      <c r="E721" s="20"/>
    </row>
    <row r="722">
      <c r="D722" s="20"/>
      <c r="E722" s="20"/>
    </row>
    <row r="723">
      <c r="D723" s="20"/>
      <c r="E723" s="20"/>
    </row>
    <row r="724">
      <c r="D724" s="20"/>
      <c r="E724" s="20"/>
    </row>
    <row r="725">
      <c r="D725" s="20"/>
      <c r="E725" s="20"/>
    </row>
    <row r="726">
      <c r="D726" s="20"/>
      <c r="E726" s="20"/>
    </row>
    <row r="727">
      <c r="D727" s="20"/>
      <c r="E727" s="20"/>
    </row>
    <row r="728">
      <c r="D728" s="20"/>
      <c r="E728" s="20"/>
    </row>
    <row r="729">
      <c r="D729" s="20"/>
      <c r="E729" s="20"/>
    </row>
    <row r="730">
      <c r="D730" s="20"/>
      <c r="E730" s="20"/>
    </row>
    <row r="731">
      <c r="D731" s="20"/>
      <c r="E731" s="20"/>
    </row>
    <row r="732">
      <c r="D732" s="20"/>
      <c r="E732" s="20"/>
    </row>
    <row r="733">
      <c r="D733" s="20"/>
      <c r="E733" s="20"/>
    </row>
    <row r="734">
      <c r="D734" s="20"/>
      <c r="E734" s="20"/>
    </row>
    <row r="735">
      <c r="D735" s="20"/>
      <c r="E735" s="20"/>
    </row>
    <row r="736">
      <c r="D736" s="20"/>
      <c r="E736" s="20"/>
    </row>
    <row r="737">
      <c r="D737" s="20"/>
      <c r="E737" s="20"/>
    </row>
    <row r="738">
      <c r="D738" s="20"/>
      <c r="E738" s="20"/>
    </row>
    <row r="739">
      <c r="D739" s="20"/>
      <c r="E739" s="20"/>
    </row>
    <row r="740">
      <c r="D740" s="20"/>
      <c r="E740" s="20"/>
    </row>
    <row r="741">
      <c r="D741" s="20"/>
      <c r="E741" s="20"/>
    </row>
    <row r="742">
      <c r="D742" s="20"/>
      <c r="E742" s="20"/>
    </row>
    <row r="743">
      <c r="D743" s="20"/>
      <c r="E743" s="20"/>
    </row>
    <row r="744">
      <c r="D744" s="20"/>
      <c r="E744" s="20"/>
    </row>
    <row r="745">
      <c r="D745" s="20"/>
      <c r="E745" s="20"/>
    </row>
    <row r="746">
      <c r="D746" s="20"/>
      <c r="E746" s="20"/>
    </row>
    <row r="747">
      <c r="D747" s="20"/>
      <c r="E747" s="20"/>
    </row>
    <row r="748">
      <c r="D748" s="20"/>
      <c r="E748" s="20"/>
    </row>
    <row r="749">
      <c r="D749" s="20"/>
      <c r="E749" s="20"/>
    </row>
    <row r="750">
      <c r="D750" s="20"/>
      <c r="E750" s="20"/>
    </row>
    <row r="751">
      <c r="D751" s="20"/>
      <c r="E751" s="20"/>
    </row>
    <row r="752">
      <c r="D752" s="20"/>
      <c r="E752" s="20"/>
    </row>
    <row r="753">
      <c r="D753" s="20"/>
      <c r="E753" s="20"/>
    </row>
    <row r="754">
      <c r="D754" s="20"/>
      <c r="E754" s="20"/>
    </row>
    <row r="755">
      <c r="D755" s="20"/>
      <c r="E755" s="20"/>
    </row>
    <row r="756">
      <c r="D756" s="20"/>
      <c r="E756" s="20"/>
    </row>
    <row r="757">
      <c r="D757" s="20"/>
      <c r="E757" s="20"/>
    </row>
    <row r="758">
      <c r="D758" s="20"/>
      <c r="E758" s="20"/>
    </row>
    <row r="759">
      <c r="D759" s="20"/>
      <c r="E759" s="20"/>
    </row>
    <row r="760">
      <c r="D760" s="20"/>
      <c r="E760" s="20"/>
    </row>
    <row r="761">
      <c r="D761" s="20"/>
      <c r="E761" s="20"/>
    </row>
    <row r="762">
      <c r="D762" s="20"/>
      <c r="E762" s="20"/>
    </row>
    <row r="763">
      <c r="D763" s="20"/>
      <c r="E763" s="20"/>
    </row>
    <row r="764">
      <c r="D764" s="20"/>
      <c r="E764" s="20"/>
    </row>
    <row r="765">
      <c r="D765" s="20"/>
      <c r="E765" s="20"/>
    </row>
    <row r="766">
      <c r="D766" s="20"/>
      <c r="E766" s="20"/>
    </row>
    <row r="767">
      <c r="D767" s="20"/>
      <c r="E767" s="20"/>
    </row>
    <row r="768">
      <c r="D768" s="20"/>
      <c r="E768" s="20"/>
    </row>
    <row r="769">
      <c r="D769" s="20"/>
      <c r="E769" s="20"/>
    </row>
    <row r="770">
      <c r="D770" s="20"/>
      <c r="E770" s="20"/>
    </row>
    <row r="771">
      <c r="D771" s="20"/>
      <c r="E771" s="20"/>
    </row>
    <row r="772">
      <c r="D772" s="20"/>
      <c r="E772" s="20"/>
    </row>
    <row r="773">
      <c r="D773" s="20"/>
      <c r="E773" s="20"/>
    </row>
    <row r="774">
      <c r="D774" s="20"/>
      <c r="E774" s="20"/>
    </row>
    <row r="775">
      <c r="D775" s="20"/>
      <c r="E775" s="20"/>
    </row>
    <row r="776">
      <c r="D776" s="20"/>
      <c r="E776" s="20"/>
    </row>
    <row r="777">
      <c r="D777" s="20"/>
      <c r="E777" s="20"/>
    </row>
    <row r="778">
      <c r="D778" s="20"/>
      <c r="E778" s="20"/>
    </row>
    <row r="779">
      <c r="D779" s="20"/>
      <c r="E779" s="20"/>
    </row>
    <row r="780">
      <c r="D780" s="20"/>
      <c r="E780" s="20"/>
    </row>
    <row r="781">
      <c r="D781" s="20"/>
      <c r="E781" s="20"/>
    </row>
    <row r="782">
      <c r="D782" s="20"/>
      <c r="E782" s="20"/>
    </row>
    <row r="783">
      <c r="D783" s="20"/>
      <c r="E783" s="20"/>
    </row>
    <row r="784">
      <c r="D784" s="20"/>
      <c r="E784" s="20"/>
    </row>
    <row r="785">
      <c r="D785" s="20"/>
      <c r="E785" s="20"/>
    </row>
    <row r="786">
      <c r="D786" s="20"/>
      <c r="E786" s="20"/>
    </row>
    <row r="787">
      <c r="D787" s="20"/>
      <c r="E787" s="20"/>
    </row>
    <row r="788">
      <c r="D788" s="20"/>
      <c r="E788" s="20"/>
    </row>
    <row r="789">
      <c r="D789" s="20"/>
      <c r="E789" s="20"/>
    </row>
    <row r="790">
      <c r="D790" s="20"/>
      <c r="E790" s="20"/>
    </row>
    <row r="791">
      <c r="D791" s="20"/>
      <c r="E791" s="20"/>
    </row>
    <row r="792">
      <c r="D792" s="20"/>
      <c r="E792" s="20"/>
    </row>
    <row r="793">
      <c r="D793" s="20"/>
      <c r="E793" s="20"/>
    </row>
    <row r="794">
      <c r="D794" s="20"/>
      <c r="E794" s="20"/>
    </row>
    <row r="795">
      <c r="D795" s="20"/>
      <c r="E795" s="20"/>
    </row>
    <row r="796">
      <c r="D796" s="20"/>
      <c r="E796" s="20"/>
    </row>
    <row r="797">
      <c r="D797" s="20"/>
      <c r="E797" s="20"/>
    </row>
    <row r="798">
      <c r="D798" s="20"/>
      <c r="E798" s="20"/>
    </row>
    <row r="799">
      <c r="D799" s="20"/>
      <c r="E799" s="20"/>
    </row>
    <row r="800">
      <c r="D800" s="20"/>
      <c r="E800" s="20"/>
    </row>
    <row r="801">
      <c r="D801" s="20"/>
      <c r="E801" s="20"/>
    </row>
    <row r="802">
      <c r="D802" s="20"/>
      <c r="E802" s="20"/>
    </row>
    <row r="803">
      <c r="D803" s="20"/>
      <c r="E803" s="20"/>
    </row>
    <row r="804">
      <c r="D804" s="20"/>
      <c r="E804" s="20"/>
    </row>
    <row r="805">
      <c r="D805" s="20"/>
      <c r="E805" s="20"/>
    </row>
    <row r="806">
      <c r="D806" s="20"/>
      <c r="E806" s="20"/>
    </row>
    <row r="807">
      <c r="D807" s="20"/>
      <c r="E807" s="20"/>
    </row>
    <row r="808">
      <c r="D808" s="20"/>
      <c r="E808" s="20"/>
    </row>
    <row r="809">
      <c r="D809" s="20"/>
      <c r="E809" s="20"/>
    </row>
    <row r="810">
      <c r="D810" s="20"/>
      <c r="E810" s="20"/>
    </row>
    <row r="811">
      <c r="D811" s="20"/>
      <c r="E811" s="20"/>
    </row>
    <row r="812">
      <c r="D812" s="20"/>
      <c r="E812" s="20"/>
    </row>
    <row r="813">
      <c r="D813" s="20"/>
      <c r="E813" s="20"/>
    </row>
    <row r="814">
      <c r="D814" s="20"/>
      <c r="E814" s="20"/>
    </row>
    <row r="815">
      <c r="D815" s="20"/>
      <c r="E815" s="20"/>
    </row>
    <row r="816">
      <c r="D816" s="20"/>
      <c r="E816" s="20"/>
    </row>
    <row r="817">
      <c r="D817" s="20"/>
      <c r="E817" s="20"/>
    </row>
    <row r="818">
      <c r="D818" s="20"/>
      <c r="E818" s="20"/>
    </row>
    <row r="819">
      <c r="D819" s="20"/>
      <c r="E819" s="20"/>
    </row>
    <row r="820">
      <c r="D820" s="20"/>
      <c r="E820" s="20"/>
    </row>
    <row r="821">
      <c r="D821" s="20"/>
      <c r="E821" s="20"/>
    </row>
    <row r="822">
      <c r="D822" s="20"/>
      <c r="E822" s="20"/>
    </row>
    <row r="823">
      <c r="D823" s="20"/>
      <c r="E823" s="20"/>
    </row>
    <row r="824">
      <c r="D824" s="20"/>
      <c r="E824" s="20"/>
    </row>
    <row r="825">
      <c r="D825" s="20"/>
      <c r="E825" s="20"/>
    </row>
    <row r="826">
      <c r="D826" s="20"/>
      <c r="E826" s="20"/>
    </row>
    <row r="827">
      <c r="D827" s="20"/>
      <c r="E827" s="20"/>
    </row>
    <row r="828">
      <c r="D828" s="20"/>
      <c r="E828" s="20"/>
    </row>
    <row r="829">
      <c r="D829" s="20"/>
      <c r="E829" s="20"/>
    </row>
    <row r="830">
      <c r="D830" s="20"/>
      <c r="E830" s="20"/>
    </row>
    <row r="831">
      <c r="D831" s="20"/>
      <c r="E831" s="20"/>
    </row>
    <row r="832">
      <c r="D832" s="20"/>
      <c r="E832" s="20"/>
    </row>
    <row r="833">
      <c r="D833" s="20"/>
      <c r="E833" s="20"/>
    </row>
    <row r="834">
      <c r="D834" s="20"/>
      <c r="E834" s="20"/>
    </row>
    <row r="835">
      <c r="D835" s="20"/>
      <c r="E835" s="20"/>
    </row>
    <row r="836">
      <c r="D836" s="20"/>
      <c r="E836" s="20"/>
    </row>
    <row r="837">
      <c r="D837" s="20"/>
      <c r="E837" s="20"/>
    </row>
    <row r="838">
      <c r="D838" s="20"/>
      <c r="E838" s="20"/>
    </row>
    <row r="839">
      <c r="D839" s="20"/>
      <c r="E839" s="20"/>
    </row>
    <row r="840">
      <c r="D840" s="20"/>
      <c r="E840" s="20"/>
    </row>
    <row r="841">
      <c r="D841" s="20"/>
      <c r="E841" s="20"/>
    </row>
    <row r="842">
      <c r="D842" s="20"/>
      <c r="E842" s="20"/>
    </row>
    <row r="843">
      <c r="D843" s="20"/>
      <c r="E843" s="20"/>
    </row>
    <row r="844">
      <c r="D844" s="20"/>
      <c r="E844" s="20"/>
    </row>
    <row r="845">
      <c r="D845" s="20"/>
      <c r="E845" s="20"/>
    </row>
    <row r="846">
      <c r="D846" s="20"/>
      <c r="E846" s="20"/>
    </row>
    <row r="847">
      <c r="D847" s="20"/>
      <c r="E847" s="20"/>
    </row>
    <row r="848">
      <c r="D848" s="20"/>
      <c r="E848" s="20"/>
    </row>
    <row r="849">
      <c r="D849" s="20"/>
      <c r="E849" s="20"/>
    </row>
    <row r="850">
      <c r="D850" s="20"/>
      <c r="E850" s="20"/>
    </row>
    <row r="851">
      <c r="D851" s="20"/>
      <c r="E851" s="20"/>
    </row>
    <row r="852">
      <c r="D852" s="20"/>
      <c r="E852" s="20"/>
    </row>
    <row r="853">
      <c r="D853" s="20"/>
      <c r="E853" s="20"/>
    </row>
    <row r="854">
      <c r="D854" s="20"/>
      <c r="E854" s="20"/>
    </row>
    <row r="855">
      <c r="D855" s="20"/>
      <c r="E855" s="20"/>
    </row>
    <row r="856">
      <c r="D856" s="20"/>
      <c r="E856" s="20"/>
    </row>
    <row r="857">
      <c r="D857" s="20"/>
      <c r="E857" s="20"/>
    </row>
    <row r="858">
      <c r="D858" s="20"/>
      <c r="E858" s="20"/>
    </row>
    <row r="859">
      <c r="D859" s="20"/>
      <c r="E859" s="20"/>
    </row>
    <row r="860">
      <c r="D860" s="20"/>
      <c r="E860" s="20"/>
    </row>
    <row r="861">
      <c r="D861" s="20"/>
      <c r="E861" s="20"/>
    </row>
    <row r="862">
      <c r="D862" s="20"/>
      <c r="E862" s="20"/>
    </row>
    <row r="863">
      <c r="D863" s="20"/>
      <c r="E863" s="20"/>
    </row>
    <row r="864">
      <c r="D864" s="20"/>
      <c r="E864" s="20"/>
    </row>
    <row r="865">
      <c r="D865" s="20"/>
      <c r="E865" s="20"/>
    </row>
    <row r="866">
      <c r="D866" s="20"/>
      <c r="E866" s="20"/>
    </row>
    <row r="867">
      <c r="D867" s="20"/>
      <c r="E867" s="20"/>
    </row>
    <row r="868">
      <c r="D868" s="20"/>
      <c r="E868" s="20"/>
    </row>
    <row r="869">
      <c r="D869" s="20"/>
      <c r="E869" s="20"/>
    </row>
    <row r="870">
      <c r="D870" s="20"/>
      <c r="E870" s="20"/>
    </row>
    <row r="871">
      <c r="D871" s="20"/>
      <c r="E871" s="20"/>
    </row>
    <row r="872">
      <c r="D872" s="20"/>
      <c r="E872" s="20"/>
    </row>
    <row r="873">
      <c r="D873" s="20"/>
      <c r="E873" s="20"/>
    </row>
    <row r="874">
      <c r="D874" s="20"/>
      <c r="E874" s="20"/>
    </row>
    <row r="875">
      <c r="D875" s="20"/>
      <c r="E875" s="20"/>
    </row>
    <row r="876">
      <c r="D876" s="20"/>
      <c r="E876" s="20"/>
    </row>
    <row r="877">
      <c r="D877" s="20"/>
      <c r="E877" s="20"/>
    </row>
    <row r="878">
      <c r="D878" s="20"/>
      <c r="E878" s="20"/>
    </row>
    <row r="879">
      <c r="D879" s="20"/>
      <c r="E879" s="20"/>
    </row>
    <row r="880">
      <c r="D880" s="20"/>
      <c r="E880" s="20"/>
    </row>
    <row r="881">
      <c r="D881" s="20"/>
      <c r="E881" s="20"/>
    </row>
    <row r="882">
      <c r="D882" s="20"/>
      <c r="E882" s="20"/>
    </row>
    <row r="883">
      <c r="D883" s="20"/>
      <c r="E883" s="20"/>
    </row>
    <row r="884">
      <c r="D884" s="20"/>
      <c r="E884" s="20"/>
    </row>
    <row r="885">
      <c r="D885" s="20"/>
      <c r="E885" s="20"/>
    </row>
    <row r="886">
      <c r="D886" s="20"/>
      <c r="E886" s="20"/>
    </row>
    <row r="887">
      <c r="D887" s="20"/>
      <c r="E887" s="20"/>
    </row>
    <row r="888">
      <c r="D888" s="20"/>
      <c r="E888" s="20"/>
    </row>
    <row r="889">
      <c r="D889" s="20"/>
      <c r="E889" s="20"/>
    </row>
    <row r="890">
      <c r="D890" s="20"/>
      <c r="E890" s="20"/>
    </row>
    <row r="891">
      <c r="D891" s="20"/>
      <c r="E891" s="20"/>
    </row>
    <row r="892">
      <c r="D892" s="20"/>
      <c r="E892" s="20"/>
    </row>
    <row r="893">
      <c r="D893" s="20"/>
      <c r="E893" s="20"/>
    </row>
    <row r="894">
      <c r="D894" s="20"/>
      <c r="E894" s="20"/>
    </row>
    <row r="895">
      <c r="D895" s="20"/>
      <c r="E895" s="20"/>
    </row>
    <row r="896">
      <c r="D896" s="20"/>
      <c r="E896" s="20"/>
    </row>
    <row r="897">
      <c r="D897" s="20"/>
      <c r="E897" s="20"/>
    </row>
    <row r="898">
      <c r="D898" s="20"/>
      <c r="E898" s="20"/>
    </row>
    <row r="899">
      <c r="D899" s="20"/>
      <c r="E899" s="20"/>
    </row>
    <row r="900">
      <c r="D900" s="20"/>
      <c r="E900" s="20"/>
    </row>
    <row r="901">
      <c r="D901" s="20"/>
      <c r="E901" s="20"/>
    </row>
    <row r="902">
      <c r="D902" s="20"/>
      <c r="E902" s="20"/>
    </row>
    <row r="903">
      <c r="D903" s="20"/>
      <c r="E903" s="20"/>
    </row>
    <row r="904">
      <c r="D904" s="20"/>
      <c r="E904" s="20"/>
    </row>
    <row r="905">
      <c r="D905" s="20"/>
      <c r="E905" s="20"/>
    </row>
    <row r="906">
      <c r="D906" s="20"/>
      <c r="E906" s="20"/>
    </row>
    <row r="907">
      <c r="D907" s="20"/>
      <c r="E907" s="20"/>
    </row>
    <row r="908">
      <c r="D908" s="20"/>
      <c r="E908" s="20"/>
    </row>
    <row r="909">
      <c r="D909" s="20"/>
      <c r="E909" s="20"/>
    </row>
    <row r="910">
      <c r="D910" s="20"/>
      <c r="E910" s="20"/>
    </row>
    <row r="911">
      <c r="D911" s="20"/>
      <c r="E911" s="20"/>
    </row>
    <row r="912">
      <c r="D912" s="20"/>
      <c r="E912" s="20"/>
    </row>
    <row r="913">
      <c r="D913" s="20"/>
      <c r="E913" s="20"/>
    </row>
    <row r="914">
      <c r="D914" s="20"/>
      <c r="E914" s="20"/>
    </row>
    <row r="915">
      <c r="D915" s="20"/>
      <c r="E915" s="20"/>
    </row>
    <row r="916">
      <c r="D916" s="20"/>
      <c r="E916" s="20"/>
    </row>
    <row r="917">
      <c r="D917" s="20"/>
      <c r="E917" s="20"/>
    </row>
    <row r="918">
      <c r="D918" s="20"/>
      <c r="E918" s="20"/>
    </row>
    <row r="919">
      <c r="D919" s="20"/>
      <c r="E919" s="20"/>
    </row>
    <row r="920">
      <c r="D920" s="20"/>
      <c r="E920" s="20"/>
    </row>
    <row r="921">
      <c r="D921" s="20"/>
      <c r="E921" s="20"/>
    </row>
    <row r="922">
      <c r="D922" s="20"/>
      <c r="E922" s="20"/>
    </row>
    <row r="923">
      <c r="D923" s="20"/>
      <c r="E923" s="20"/>
    </row>
    <row r="924">
      <c r="D924" s="20"/>
      <c r="E924" s="20"/>
    </row>
    <row r="925">
      <c r="D925" s="20"/>
      <c r="E925" s="20"/>
    </row>
    <row r="926">
      <c r="D926" s="20"/>
      <c r="E926" s="20"/>
    </row>
    <row r="927">
      <c r="D927" s="20"/>
      <c r="E927" s="20"/>
    </row>
    <row r="928">
      <c r="D928" s="20"/>
      <c r="E928" s="20"/>
    </row>
    <row r="929">
      <c r="D929" s="20"/>
      <c r="E929" s="20"/>
    </row>
    <row r="930">
      <c r="D930" s="20"/>
      <c r="E930" s="20"/>
    </row>
    <row r="931">
      <c r="D931" s="20"/>
      <c r="E931" s="20"/>
    </row>
    <row r="932">
      <c r="D932" s="20"/>
      <c r="E932" s="20"/>
    </row>
    <row r="933">
      <c r="D933" s="20"/>
      <c r="E933" s="20"/>
    </row>
    <row r="934">
      <c r="D934" s="20"/>
      <c r="E934" s="20"/>
    </row>
    <row r="935">
      <c r="D935" s="20"/>
      <c r="E935" s="20"/>
    </row>
    <row r="936">
      <c r="D936" s="20"/>
      <c r="E936" s="20"/>
    </row>
    <row r="937">
      <c r="D937" s="20"/>
      <c r="E937" s="20"/>
    </row>
    <row r="938">
      <c r="D938" s="20"/>
      <c r="E938" s="20"/>
    </row>
    <row r="939">
      <c r="D939" s="20"/>
      <c r="E939" s="20"/>
    </row>
    <row r="940">
      <c r="D940" s="20"/>
      <c r="E940" s="20"/>
    </row>
    <row r="941">
      <c r="D941" s="20"/>
      <c r="E941" s="20"/>
    </row>
    <row r="942">
      <c r="D942" s="20"/>
      <c r="E942" s="20"/>
    </row>
    <row r="943">
      <c r="D943" s="20"/>
      <c r="E943" s="20"/>
    </row>
    <row r="944">
      <c r="D944" s="20"/>
      <c r="E944" s="20"/>
    </row>
    <row r="945">
      <c r="D945" s="20"/>
      <c r="E945" s="20"/>
    </row>
    <row r="946">
      <c r="D946" s="20"/>
      <c r="E946" s="20"/>
    </row>
    <row r="947">
      <c r="D947" s="20"/>
      <c r="E947" s="20"/>
    </row>
    <row r="948">
      <c r="D948" s="20"/>
      <c r="E948" s="20"/>
    </row>
    <row r="949">
      <c r="D949" s="20"/>
      <c r="E949" s="20"/>
    </row>
    <row r="950">
      <c r="D950" s="20"/>
      <c r="E950" s="20"/>
    </row>
    <row r="951">
      <c r="D951" s="20"/>
      <c r="E951" s="20"/>
    </row>
    <row r="952">
      <c r="D952" s="20"/>
      <c r="E952" s="20"/>
    </row>
    <row r="953">
      <c r="D953" s="20"/>
      <c r="E953" s="20"/>
    </row>
    <row r="954">
      <c r="D954" s="20"/>
      <c r="E954" s="20"/>
    </row>
    <row r="955">
      <c r="D955" s="20"/>
      <c r="E955" s="20"/>
    </row>
    <row r="956">
      <c r="D956" s="20"/>
      <c r="E956" s="20"/>
    </row>
    <row r="957">
      <c r="D957" s="20"/>
      <c r="E957" s="20"/>
    </row>
    <row r="958">
      <c r="D958" s="20"/>
      <c r="E958" s="20"/>
    </row>
    <row r="959">
      <c r="D959" s="20"/>
      <c r="E959" s="20"/>
    </row>
    <row r="960">
      <c r="D960" s="20"/>
      <c r="E960" s="20"/>
    </row>
    <row r="961">
      <c r="D961" s="20"/>
      <c r="E961" s="20"/>
    </row>
    <row r="962">
      <c r="D962" s="20"/>
      <c r="E962" s="20"/>
    </row>
    <row r="963">
      <c r="D963" s="20"/>
      <c r="E963" s="20"/>
    </row>
    <row r="964">
      <c r="D964" s="20"/>
      <c r="E964" s="20"/>
    </row>
  </sheetData>
  <mergeCells count="5">
    <mergeCell ref="F1:J1"/>
    <mergeCell ref="R1:W1"/>
    <mergeCell ref="X1:AA1"/>
    <mergeCell ref="AR1:AS1"/>
    <mergeCell ref="AT1:AX1"/>
  </mergeCells>
  <dataValidations>
    <dataValidation type="list" allowBlank="1" showErrorMessage="1" sqref="X3:X28">
      <formula1>"Russian,Ukrainian,English,Other,Unsure"</formula1>
    </dataValidation>
    <dataValidation type="list" allowBlank="1" showErrorMessage="1" sqref="AK3:AK28">
      <formula1>"Food,Water,Medicine,Gun"</formula1>
    </dataValidation>
    <dataValidation type="list" allowBlank="1" showErrorMessage="1" sqref="AN3:AN28">
      <formula1>"Battle field/area (tanks, etc),Inside a building ,Destroyed building/structure,Train station,Sky,Outside - city (including skyline),None of these/other"</formula1>
    </dataValidation>
    <dataValidation type="list" allowBlank="1" showErrorMessage="1" sqref="AE3:AE28">
      <formula1>"Text and image aligned,Text and image unaligned,Text reframes/challenges image,Image reframes/challenges text,The text is spammy,The image is spammy,Other thing"</formula1>
    </dataValidation>
    <dataValidation type="list" allowBlank="1" showErrorMessage="1" sqref="V3:V28">
      <formula1>"Printed Paperwork,Printed Notice,Hand Drawing"</formula1>
    </dataValidation>
    <dataValidation type="list" allowBlank="1" showErrorMessage="1" sqref="Z3:Z28">
      <formula1>"Ukrainian Gvt,Russian Gvt,Law enforceement,People's republics,Aid orgs/NGOs,Press/media company,Influencer/individual logo,Other logo"</formula1>
    </dataValidation>
    <dataValidation type="list" allowBlank="1" showErrorMessage="1" sqref="AR3:AR28">
      <formula1>"Donate,Call a number,Go to a place for support/resources,Perform a state sanctioned action,Share/forward the image ,Go to an event ,Other mobilization behavior "</formula1>
    </dataValidation>
    <dataValidation type="list" allowBlank="1" showErrorMessage="1" sqref="AB3:AB28">
      <formula1>"Text and image aligned,Text and image unaligned,Text reframes/challenges image,Image reframes/challenges text,The text is spammy,The image is spammy,Other thing,No text in image"</formula1>
    </dataValidation>
    <dataValidation type="list" allowBlank="1" showErrorMessage="1" sqref="AM3:AM28">
      <formula1>"Ukrainian,Russian,Other"</formula1>
    </dataValidation>
    <dataValidation type="list" allowBlank="1" showErrorMessage="1" sqref="AL3:AL28">
      <formula1>"Drone,Cloud trail,Plane,Missile,Rocket,Other"</formula1>
    </dataValidation>
    <dataValidation type="list" allowBlank="1" showErrorMessage="1" sqref="AT3:AT28">
      <formula1>"Ukraine,Russia,DNR,LNR,Local/regional,Other/unknown"</formula1>
    </dataValidation>
    <dataValidation type="list" allowBlank="1" showErrorMessage="1" sqref="L4:L11 L13:L28">
      <formula1>"Humor,Russian infrastructure/normalization,English language ,Ukrainian colors in public places,Russian colors in public places,Destruction of monuments/key buildings,Happy children,Pro-Ukrainian support from another nation (or animal),Other thing ,Victimi"&amp;"zation,Historical association,Destruction in general"</formula1>
    </dataValidation>
    <dataValidation type="list" allowBlank="1" showErrorMessage="1" sqref="T3:T28">
      <formula1>"Ukraine ,Russia,Multiple countries,Multiple maps,Military map,Air raid map,Other map"</formula1>
    </dataValidation>
    <dataValidation type="list" allowBlank="1" showErrorMessage="1" sqref="AI3:AI28">
      <formula1>"Cat,Dog,Other"</formula1>
    </dataValidation>
    <dataValidation type="list" allowBlank="1" showErrorMessage="1" sqref="I3:I28">
      <formula1>"Implicit,Explicit,No stance,Unsure"</formula1>
    </dataValidation>
    <dataValidation type="list" allowBlank="1" showErrorMessage="1" sqref="K3:K28">
      <formula1>"Lots of context - hard to reframee,A little bit of context - harder to reframe if you know,No context - easy to reframe in a post"</formula1>
    </dataValidation>
    <dataValidation type="list" allowBlank="1" showErrorMessage="1" sqref="AV3:AV28">
      <formula1>"Russian,Ukrainian,Other"</formula1>
    </dataValidation>
    <dataValidation type="list" allowBlank="1" showErrorMessage="1" sqref="M3:O28">
      <formula1>"Russian in group (by Russians for Russians),Ukrainian in group (by Ukrainians, for Ukrainians),Russian out group (by Ukrainians or others, outgrouping Russians),Ukrainian out group (by Russians or others, outgrouping Ukrainians),None,Unsure"</formula1>
    </dataValidation>
    <dataValidation type="list" allowBlank="1" showErrorMessage="1" sqref="AF3:AF28">
      <formula1>"Clarifying the image,Describing the image,Challenging the image,Stressing/emphasizing the image,Reacting to the image,Other interesting thing,Contextualizing the Image"</formula1>
    </dataValidation>
    <dataValidation type="list" allowBlank="1" showErrorMessage="1" sqref="AA3:AA28 AD3:AD28">
      <formula1>"Name/Handle,Stock imagery,Other watermark,Russian"</formula1>
    </dataValidation>
    <dataValidation type="list" allowBlank="1" showErrorMessage="1" sqref="H3:H28">
      <formula1>"Pro-Russia,Pro-Ukrainian,No stance,Unsure"</formula1>
    </dataValidation>
    <dataValidation type="list" allowBlank="1" showErrorMessage="1" sqref="AU3:AU28">
      <formula1>"Ukrainian,Russian,EU,USA,Local/regional,DNR,LNR,Other/unknown"</formula1>
    </dataValidation>
    <dataValidation type="list" allowBlank="1" showErrorMessage="1" sqref="AO3:AO28">
      <formula1>"Active conflict,Result of conflict "</formula1>
    </dataValidation>
    <dataValidation type="list" allowBlank="1" showErrorMessage="1" sqref="U3:U28">
      <formula1>"Computer,Phone,TV,Unknown/unclear,Military footage screen ,Other,Unknown"</formula1>
    </dataValidation>
    <dataValidation type="list" allowBlank="1" showErrorMessage="1" sqref="AQ3:AQ28">
      <formula1>"Public speech,Press conference,newscast,Politician with miltiary,Gvt meeting/forum,Miltiary posing for photo,Arrest,Protest"</formula1>
    </dataValidation>
    <dataValidation type="list" allowBlank="1" showErrorMessage="1" sqref="AG3:AG28">
      <formula1>"Russian Military,Ukrainian Military,Soviet Military Figure"</formula1>
    </dataValidation>
    <dataValidation type="list" allowBlank="1" showErrorMessage="1" sqref="AH3:AH28">
      <formula1>"Zelensky,Putin,Biden,Turmp,Poroshenko,Xi Jinping,Other"</formula1>
    </dataValidation>
    <dataValidation type="list" allowBlank="1" showErrorMessage="1" sqref="P3:P28">
      <formula1>"Yes - hostility to Russian outgroup,Yes - hostility to Ukrainian outgroup,Yes - hostility to another outgroup,None,Unsure"</formula1>
    </dataValidation>
    <dataValidation type="list" allowBlank="1" showErrorMessage="1" sqref="J3:J28">
      <formula1>"Text and image aligned,Text reframes image,Image reframes text,None,Unsure"</formula1>
    </dataValidation>
    <dataValidation type="list" allowBlank="1" showErrorMessage="1" sqref="AJ3:AJ28">
      <formula1>"Military,Tank,Police,Firetruck,Civilian,Emergency,Other"</formula1>
    </dataValidation>
    <dataValidation type="list" allowBlank="1" showErrorMessage="1" sqref="R3:R28">
      <formula1>"Meme,Data visualization,Infographic,Digital flyers,""cover image"" - image for text,Map,Picture of a screen,Picture of paper,Screenshot,News article,Photograph,Illustration - realistic,Illustration - cartoon/comic,AI-genreated image,Collage of multiple im"&amp;"ages,Other"</formula1>
    </dataValidation>
    <dataValidation type="list" allowBlank="1" showErrorMessage="1" sqref="L3 L12">
      <formula1>"Humor,Russian infrastructure/normalization,English language ,Ukrainian colors in public places,Russian colors in public places,Destruction of monuments/key buildings,Happy children/women,Prisoners of war,Pro-Ukrainian support from another nation (or anima"&amp;"l),Other thing ,Women/Children Participation,Elderly Participation"</formula1>
    </dataValidation>
    <dataValidation type="list" allowBlank="1" showErrorMessage="1" sqref="AC3:AC28">
      <formula1>"Mixed,Russian,Ukrainian,English,Other"</formula1>
    </dataValidation>
    <dataValidation type="list" allowBlank="1" showErrorMessage="1" sqref="G3:G28">
      <formula1>"Discrediting,Emotion,Polarization,Impersonation,Conspiracy,Trolling"</formula1>
    </dataValidation>
    <dataValidation type="list" allowBlank="1" showErrorMessage="1" sqref="AS3:AS28">
      <formula1>"Psychological resource (ie crisis line),Motivational quote,Aid resource,Prayer,Other affective thing"</formula1>
    </dataValidation>
    <dataValidation type="list" allowBlank="1" showErrorMessage="1" sqref="AP3:AP28">
      <formula1>"Medical relief,Food relief/passout,Aid workers helping - general"</formula1>
    </dataValidation>
    <dataValidation type="list" allowBlank="1" showErrorMessage="1" sqref="Y3:Y28">
      <formula1>"Emojis added to cover faces,FAKE or other debunking text/image warning,Textual annotations (text added over an image),Graphical annotations (shapes, arrows to draw attention),Faces blurred,Blood/injuries blurred,Other blurring,Appears to have been cropped"&amp;",Other editting,likely AI generated"</formula1>
    </dataValidation>
    <dataValidation type="list" allowBlank="1" showErrorMessage="1" sqref="AW3:AW28">
      <formula1>"Ribbon of Saint George,USSR signs - hammer, stars, etc ,V, Z - war symbols,Rubles,Maps of Ukraine without Crimea and the occupied territories,Famous Russain culture figure,Balalaika,Russian bear ,Other "</formula1>
    </dataValidation>
    <dataValidation type="list" allowBlank="1" showErrorMessage="1" sqref="F3:F28">
      <formula1>"Lifestyle content - outfits, cooking, etc,Misc meme,Misc landscape (building, nature) image,Misc motivation post,Advertisement,Sports,Slop/Spam,Construction,Porn/sexual imagery"</formula1>
    </dataValidation>
    <dataValidation type="list" allowBlank="1" showErrorMessage="1" sqref="Q3:Q28">
      <formula1>"Yes - Solidarity to Ukrainian in group,Yes - Solidarity to Russian ingroup,Yes - Solidarity to a different in group,No,Unsure"</formula1>
    </dataValidation>
    <dataValidation type="list" allowBlank="1" showErrorMessage="1" sqref="AX3:AY28">
      <formula1>"Trident,letter ""i"",Variations of Russian warship,Sunflower,Sunflower seeds,Borscht,Vyshyvanka,Watermelons,Wheat,Varenyky,Other"</formula1>
    </dataValidation>
    <dataValidation type="list" allowBlank="1" showErrorMessage="1" sqref="S3:S28">
      <formula1>"Bar chart,Line chart,Scatter plot,Circle/donut/pie chart,Other chart type"</formula1>
    </dataValidation>
    <dataValidation type="list" allowBlank="1" showErrorMessage="1" sqref="W3:W28">
      <formula1>"Search engine result,LLM Output,News website,Government website,Social media - FB ,Social media - X,Social media - TikTok,Socila media - YT ,Social media - Whatsapp ,Social media - Telegram,Social media - Other/Unknown"</formula1>
    </dataValidation>
  </dataValidation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25"/>
    <col customWidth="1" min="5" max="5" width="34.13"/>
  </cols>
  <sheetData>
    <row r="1">
      <c r="A1" s="1"/>
      <c r="B1" s="1"/>
      <c r="C1" s="1"/>
      <c r="D1" s="2"/>
      <c r="E1" s="2"/>
      <c r="F1" s="3" t="s">
        <v>0</v>
      </c>
      <c r="K1" s="4"/>
      <c r="L1" s="4"/>
      <c r="M1" s="4"/>
      <c r="N1" s="4"/>
      <c r="O1" s="4"/>
      <c r="P1" s="4"/>
      <c r="Q1" s="4"/>
      <c r="R1" s="5" t="s">
        <v>1</v>
      </c>
      <c r="X1" s="6" t="s">
        <v>2</v>
      </c>
      <c r="AB1" s="6" t="s">
        <v>3</v>
      </c>
      <c r="AC1" s="7"/>
      <c r="AD1" s="7"/>
      <c r="AE1" s="7"/>
      <c r="AF1" s="7"/>
      <c r="AG1" s="8"/>
      <c r="AH1" s="8"/>
      <c r="AI1" s="8"/>
      <c r="AJ1" s="8"/>
      <c r="AK1" s="8"/>
      <c r="AL1" s="8"/>
      <c r="AM1" s="8"/>
      <c r="AN1" s="9" t="s">
        <v>4</v>
      </c>
      <c r="AO1" s="5" t="s">
        <v>5</v>
      </c>
      <c r="AP1" s="10"/>
      <c r="AQ1" s="10"/>
      <c r="AR1" s="6" t="s">
        <v>6</v>
      </c>
      <c r="AT1" s="11" t="s">
        <v>7</v>
      </c>
      <c r="AY1" s="8"/>
      <c r="AZ1" s="12" t="s">
        <v>8</v>
      </c>
      <c r="BA1" s="12" t="s">
        <v>9</v>
      </c>
    </row>
    <row r="2" ht="122.25" customHeight="1">
      <c r="A2" s="13" t="s">
        <v>10</v>
      </c>
      <c r="B2" s="13" t="s">
        <v>11</v>
      </c>
      <c r="C2" s="13" t="s">
        <v>12</v>
      </c>
      <c r="D2" s="14" t="s">
        <v>13</v>
      </c>
      <c r="E2" s="14" t="s">
        <v>14</v>
      </c>
      <c r="F2" s="3" t="s">
        <v>15</v>
      </c>
      <c r="G2" s="3" t="s">
        <v>16</v>
      </c>
      <c r="H2" s="3" t="s">
        <v>17</v>
      </c>
      <c r="I2" s="3" t="s">
        <v>18</v>
      </c>
      <c r="J2" s="3" t="s">
        <v>19</v>
      </c>
      <c r="K2" s="3" t="s">
        <v>20</v>
      </c>
      <c r="L2" s="3" t="s">
        <v>21</v>
      </c>
      <c r="M2" s="3" t="s">
        <v>22</v>
      </c>
      <c r="N2" s="3" t="s">
        <v>23</v>
      </c>
      <c r="O2" s="3" t="s">
        <v>24</v>
      </c>
      <c r="P2" s="3" t="s">
        <v>25</v>
      </c>
      <c r="Q2" s="3" t="s">
        <v>26</v>
      </c>
      <c r="R2" s="5" t="s">
        <v>27</v>
      </c>
      <c r="S2" s="5" t="s">
        <v>28</v>
      </c>
      <c r="T2" s="5" t="s">
        <v>29</v>
      </c>
      <c r="U2" s="5" t="s">
        <v>30</v>
      </c>
      <c r="V2" s="5" t="s">
        <v>31</v>
      </c>
      <c r="W2" s="5" t="s">
        <v>32</v>
      </c>
      <c r="X2" s="6" t="s">
        <v>33</v>
      </c>
      <c r="Y2" s="6" t="s">
        <v>34</v>
      </c>
      <c r="Z2" s="6" t="s">
        <v>35</v>
      </c>
      <c r="AA2" s="6" t="s">
        <v>36</v>
      </c>
      <c r="AB2" s="6" t="s">
        <v>206</v>
      </c>
      <c r="AC2" s="6" t="s">
        <v>38</v>
      </c>
      <c r="AD2" s="6" t="s">
        <v>39</v>
      </c>
      <c r="AE2" s="6" t="s">
        <v>40</v>
      </c>
      <c r="AF2" s="6" t="s">
        <v>41</v>
      </c>
      <c r="AG2" s="11" t="s">
        <v>42</v>
      </c>
      <c r="AH2" s="11" t="s">
        <v>43</v>
      </c>
      <c r="AI2" s="11" t="s">
        <v>44</v>
      </c>
      <c r="AJ2" s="11" t="s">
        <v>45</v>
      </c>
      <c r="AK2" s="11" t="s">
        <v>46</v>
      </c>
      <c r="AL2" s="11" t="s">
        <v>47</v>
      </c>
      <c r="AM2" s="11" t="s">
        <v>48</v>
      </c>
      <c r="AN2" s="9" t="s">
        <v>49</v>
      </c>
      <c r="AO2" s="5" t="s">
        <v>50</v>
      </c>
      <c r="AP2" s="5" t="s">
        <v>51</v>
      </c>
      <c r="AQ2" s="5" t="s">
        <v>52</v>
      </c>
      <c r="AR2" s="6" t="s">
        <v>53</v>
      </c>
      <c r="AS2" s="6" t="s">
        <v>54</v>
      </c>
      <c r="AT2" s="11" t="s">
        <v>55</v>
      </c>
      <c r="AU2" s="11" t="s">
        <v>56</v>
      </c>
      <c r="AV2" s="11" t="s">
        <v>57</v>
      </c>
      <c r="AW2" s="11" t="s">
        <v>58</v>
      </c>
      <c r="AX2" s="11" t="s">
        <v>59</v>
      </c>
      <c r="AY2" s="8"/>
      <c r="AZ2" s="15"/>
      <c r="BA2" s="15"/>
    </row>
    <row r="3" ht="30.75" customHeight="1">
      <c r="A3" s="1" t="s">
        <v>60</v>
      </c>
      <c r="B3" s="16" t="s">
        <v>61</v>
      </c>
      <c r="C3" s="17" t="str">
        <f>IMAGE("https://drive.google.com/uc?export=view&amp;id=1JfDAvAaE1rIL4McPdY6qIwUyGyYuehhp", 4, 100, 100)</f>
        <v/>
      </c>
      <c r="D3" s="2" t="s">
        <v>62</v>
      </c>
      <c r="E3" s="2" t="s">
        <v>63</v>
      </c>
      <c r="F3" s="18"/>
      <c r="G3" s="18"/>
      <c r="H3" s="21" t="s">
        <v>164</v>
      </c>
      <c r="I3" s="21" t="s">
        <v>194</v>
      </c>
      <c r="J3" s="22" t="s">
        <v>166</v>
      </c>
      <c r="K3" s="22" t="s">
        <v>207</v>
      </c>
      <c r="L3" s="21" t="s">
        <v>199</v>
      </c>
      <c r="M3" s="21" t="s">
        <v>208</v>
      </c>
      <c r="N3" s="21" t="s">
        <v>208</v>
      </c>
      <c r="O3" s="21" t="s">
        <v>208</v>
      </c>
      <c r="P3" s="21" t="s">
        <v>169</v>
      </c>
      <c r="Q3" s="21" t="s">
        <v>174</v>
      </c>
      <c r="R3" s="21" t="s">
        <v>209</v>
      </c>
      <c r="S3" s="18"/>
      <c r="T3" s="18"/>
      <c r="U3" s="18"/>
      <c r="V3" s="22" t="s">
        <v>172</v>
      </c>
      <c r="W3" s="18"/>
      <c r="X3" s="21" t="s">
        <v>184</v>
      </c>
      <c r="Y3" s="18"/>
      <c r="Z3" s="18"/>
      <c r="AA3" s="18"/>
      <c r="AB3" s="18"/>
      <c r="AC3" s="22" t="s">
        <v>184</v>
      </c>
      <c r="AD3" s="21" t="s">
        <v>184</v>
      </c>
      <c r="AE3" s="21" t="s">
        <v>166</v>
      </c>
      <c r="AF3" s="21" t="s">
        <v>177</v>
      </c>
      <c r="AG3" s="18"/>
      <c r="AH3" s="18"/>
      <c r="AI3" s="18"/>
      <c r="AJ3" s="18"/>
      <c r="AK3" s="18"/>
      <c r="AL3" s="18"/>
      <c r="AM3" s="18"/>
      <c r="AN3" s="21" t="s">
        <v>210</v>
      </c>
      <c r="AO3" s="18"/>
      <c r="AP3" s="18"/>
      <c r="AQ3" s="18"/>
      <c r="AR3" s="18"/>
      <c r="AS3" s="18"/>
      <c r="AT3" s="18"/>
      <c r="AU3" s="18"/>
      <c r="AV3" s="18"/>
      <c r="AW3" s="18"/>
      <c r="AX3" s="18"/>
      <c r="AY3" s="18"/>
      <c r="AZ3" s="24" t="s">
        <v>211</v>
      </c>
      <c r="BA3" s="24" t="s">
        <v>212</v>
      </c>
    </row>
    <row r="4" ht="27.75" customHeight="1">
      <c r="A4" s="1" t="s">
        <v>64</v>
      </c>
      <c r="B4" s="16" t="s">
        <v>65</v>
      </c>
      <c r="C4" s="17" t="str">
        <f>IMAGE("https://drive.google.com/uc?export=view&amp;id=1J49Gfc4bVzKuvxGkpv8zv6guWvnnY3EA", 4, 100, 100)</f>
        <v/>
      </c>
      <c r="D4" s="2" t="s">
        <v>66</v>
      </c>
      <c r="E4" s="2" t="s">
        <v>67</v>
      </c>
      <c r="F4" s="18"/>
      <c r="G4" s="21" t="s">
        <v>213</v>
      </c>
      <c r="H4" s="21" t="s">
        <v>164</v>
      </c>
      <c r="I4" s="21" t="s">
        <v>165</v>
      </c>
      <c r="J4" s="22" t="s">
        <v>166</v>
      </c>
      <c r="K4" s="22" t="s">
        <v>191</v>
      </c>
      <c r="L4" s="21" t="s">
        <v>214</v>
      </c>
      <c r="M4" s="21" t="s">
        <v>168</v>
      </c>
      <c r="N4" s="21" t="s">
        <v>208</v>
      </c>
      <c r="O4" s="21" t="s">
        <v>208</v>
      </c>
      <c r="P4" s="21" t="s">
        <v>169</v>
      </c>
      <c r="Q4" s="21" t="s">
        <v>174</v>
      </c>
      <c r="R4" s="21" t="s">
        <v>215</v>
      </c>
      <c r="S4" s="18"/>
      <c r="T4" s="18"/>
      <c r="U4" s="18"/>
      <c r="V4" s="18"/>
      <c r="W4" s="18"/>
      <c r="X4" s="21" t="s">
        <v>173</v>
      </c>
      <c r="Y4" s="21" t="s">
        <v>216</v>
      </c>
      <c r="Z4" s="21" t="s">
        <v>217</v>
      </c>
      <c r="AA4" s="18"/>
      <c r="AB4" s="21" t="s">
        <v>166</v>
      </c>
      <c r="AC4" s="22" t="s">
        <v>173</v>
      </c>
      <c r="AD4" s="21" t="s">
        <v>218</v>
      </c>
      <c r="AE4" s="21" t="s">
        <v>166</v>
      </c>
      <c r="AF4" s="21" t="s">
        <v>219</v>
      </c>
      <c r="AG4" s="21" t="s">
        <v>188</v>
      </c>
      <c r="AH4" s="18"/>
      <c r="AI4" s="18"/>
      <c r="AJ4" s="18"/>
      <c r="AK4" s="18"/>
      <c r="AL4" s="18"/>
      <c r="AM4" s="18"/>
      <c r="AN4" s="21" t="s">
        <v>220</v>
      </c>
      <c r="AO4" s="22" t="s">
        <v>221</v>
      </c>
      <c r="AP4" s="18"/>
      <c r="AQ4" s="18"/>
      <c r="AR4" s="18"/>
      <c r="AS4" s="18"/>
      <c r="AT4" s="18"/>
      <c r="AU4" s="18"/>
      <c r="AV4" s="18"/>
      <c r="AW4" s="18"/>
      <c r="AX4" s="18"/>
      <c r="AY4" s="18"/>
      <c r="AZ4" s="15"/>
      <c r="BA4" s="15"/>
    </row>
    <row r="5" ht="30.75" customHeight="1">
      <c r="A5" s="1" t="s">
        <v>68</v>
      </c>
      <c r="B5" s="16" t="s">
        <v>69</v>
      </c>
      <c r="C5" s="17" t="str">
        <f>IMAGE("https://drive.google.com/uc?export=view&amp;id=1MXEcWSpl0gmzjGsPlEMoQtvPfqe0d_jr", 4, 100, 100)</f>
        <v/>
      </c>
      <c r="D5" s="2" t="s">
        <v>70</v>
      </c>
      <c r="E5" s="2" t="s">
        <v>71</v>
      </c>
      <c r="F5" s="18"/>
      <c r="G5" s="18"/>
      <c r="H5" s="21" t="s">
        <v>222</v>
      </c>
      <c r="I5" s="21" t="s">
        <v>165</v>
      </c>
      <c r="J5" s="22" t="s">
        <v>166</v>
      </c>
      <c r="K5" s="22" t="s">
        <v>167</v>
      </c>
      <c r="L5" s="21" t="s">
        <v>180</v>
      </c>
      <c r="M5" s="21" t="s">
        <v>168</v>
      </c>
      <c r="N5" s="21" t="s">
        <v>168</v>
      </c>
      <c r="O5" s="21" t="s">
        <v>168</v>
      </c>
      <c r="P5" s="21" t="s">
        <v>223</v>
      </c>
      <c r="Q5" s="21" t="s">
        <v>174</v>
      </c>
      <c r="R5" s="21" t="s">
        <v>224</v>
      </c>
      <c r="S5" s="18"/>
      <c r="T5" s="18"/>
      <c r="U5" s="21" t="s">
        <v>182</v>
      </c>
      <c r="V5" s="18"/>
      <c r="W5" s="22" t="s">
        <v>183</v>
      </c>
      <c r="X5" s="21" t="s">
        <v>184</v>
      </c>
      <c r="Y5" s="21" t="s">
        <v>185</v>
      </c>
      <c r="Z5" s="21" t="s">
        <v>217</v>
      </c>
      <c r="AA5" s="21" t="s">
        <v>187</v>
      </c>
      <c r="AB5" s="21" t="s">
        <v>166</v>
      </c>
      <c r="AC5" s="22" t="s">
        <v>184</v>
      </c>
      <c r="AD5" s="21"/>
      <c r="AE5" s="21" t="s">
        <v>166</v>
      </c>
      <c r="AF5" s="21" t="s">
        <v>177</v>
      </c>
      <c r="AG5" s="21" t="s">
        <v>188</v>
      </c>
      <c r="AH5" s="22" t="s">
        <v>189</v>
      </c>
      <c r="AI5" s="18"/>
      <c r="AJ5" s="18"/>
      <c r="AK5" s="18"/>
      <c r="AL5" s="18"/>
      <c r="AM5" s="18"/>
      <c r="AN5" s="21" t="s">
        <v>225</v>
      </c>
      <c r="AO5" s="18"/>
      <c r="AP5" s="18"/>
      <c r="AQ5" s="18"/>
      <c r="AR5" s="18"/>
      <c r="AS5" s="18"/>
      <c r="AT5" s="18"/>
      <c r="AU5" s="18"/>
      <c r="AV5" s="18"/>
      <c r="AW5" s="18"/>
      <c r="AX5" s="18"/>
      <c r="AY5" s="18"/>
      <c r="AZ5" s="15"/>
      <c r="BA5" s="15"/>
    </row>
    <row r="6" ht="18.0" customHeight="1">
      <c r="A6" s="1" t="s">
        <v>72</v>
      </c>
      <c r="B6" s="16" t="s">
        <v>73</v>
      </c>
      <c r="C6" s="17" t="str">
        <f>IMAGE("https://drive.google.com/uc?export=view&amp;id=1Ojazvc8xkFii9uqOHBl6y4Vihx433y5v", 4, 100, 100)</f>
        <v/>
      </c>
      <c r="D6" s="2" t="s">
        <v>74</v>
      </c>
      <c r="E6" s="2" t="s">
        <v>75</v>
      </c>
      <c r="F6" s="18"/>
      <c r="G6" s="18"/>
      <c r="H6" s="21" t="s">
        <v>164</v>
      </c>
      <c r="I6" s="21" t="s">
        <v>165</v>
      </c>
      <c r="J6" s="22" t="s">
        <v>166</v>
      </c>
      <c r="K6" s="22" t="s">
        <v>191</v>
      </c>
      <c r="L6" s="21" t="s">
        <v>226</v>
      </c>
      <c r="M6" s="21" t="s">
        <v>168</v>
      </c>
      <c r="N6" s="21" t="s">
        <v>227</v>
      </c>
      <c r="O6" s="21" t="s">
        <v>168</v>
      </c>
      <c r="P6" s="21" t="s">
        <v>169</v>
      </c>
      <c r="Q6" s="21" t="s">
        <v>174</v>
      </c>
      <c r="R6" s="21" t="s">
        <v>197</v>
      </c>
      <c r="S6" s="18"/>
      <c r="T6" s="18"/>
      <c r="U6" s="18"/>
      <c r="V6" s="18"/>
      <c r="W6" s="18"/>
      <c r="X6" s="21" t="s">
        <v>173</v>
      </c>
      <c r="Y6" s="18"/>
      <c r="Z6" s="18"/>
      <c r="AA6" s="18"/>
      <c r="AB6" s="18"/>
      <c r="AC6" s="18"/>
      <c r="AD6" s="21" t="s">
        <v>218</v>
      </c>
      <c r="AE6" s="21" t="s">
        <v>166</v>
      </c>
      <c r="AF6" s="21" t="s">
        <v>228</v>
      </c>
      <c r="AG6" s="18"/>
      <c r="AH6" s="18"/>
      <c r="AI6" s="18"/>
      <c r="AJ6" s="18"/>
      <c r="AK6" s="18"/>
      <c r="AL6" s="18"/>
      <c r="AM6" s="18"/>
      <c r="AN6" s="21" t="s">
        <v>229</v>
      </c>
      <c r="AO6" s="22" t="s">
        <v>202</v>
      </c>
      <c r="AP6" s="18"/>
      <c r="AQ6" s="18"/>
      <c r="AR6" s="21" t="s">
        <v>230</v>
      </c>
      <c r="AS6" s="18"/>
      <c r="AT6" s="18"/>
      <c r="AU6" s="18"/>
      <c r="AV6" s="18"/>
      <c r="AW6" s="18"/>
      <c r="AX6" s="18"/>
      <c r="AY6" s="18"/>
      <c r="AZ6" s="24" t="s">
        <v>231</v>
      </c>
      <c r="BA6" s="15"/>
    </row>
    <row r="7" ht="25.5" customHeight="1">
      <c r="A7" s="1" t="s">
        <v>76</v>
      </c>
      <c r="B7" s="16" t="s">
        <v>77</v>
      </c>
      <c r="C7" s="17" t="str">
        <f>IMAGE("https://drive.google.com/uc?export=view&amp;id=1yngs7LqTHvGIMbqZ4hcwG79ijEFgnPnk", 4, 100, 100)</f>
        <v/>
      </c>
      <c r="D7" s="2" t="s">
        <v>78</v>
      </c>
      <c r="E7" s="2" t="s">
        <v>79</v>
      </c>
      <c r="F7" s="18"/>
      <c r="G7" s="18"/>
      <c r="H7" s="21" t="s">
        <v>164</v>
      </c>
      <c r="I7" s="21" t="s">
        <v>165</v>
      </c>
      <c r="J7" s="22" t="s">
        <v>193</v>
      </c>
      <c r="K7" s="22" t="s">
        <v>191</v>
      </c>
      <c r="L7" s="21" t="s">
        <v>199</v>
      </c>
      <c r="M7" s="21" t="s">
        <v>168</v>
      </c>
      <c r="N7" s="21" t="s">
        <v>208</v>
      </c>
      <c r="O7" s="21" t="s">
        <v>208</v>
      </c>
      <c r="P7" s="21" t="s">
        <v>223</v>
      </c>
      <c r="Q7" s="21" t="s">
        <v>196</v>
      </c>
      <c r="R7" s="21" t="s">
        <v>197</v>
      </c>
      <c r="S7" s="18"/>
      <c r="T7" s="18"/>
      <c r="U7" s="18"/>
      <c r="V7" s="18"/>
      <c r="W7" s="18"/>
      <c r="X7" s="18"/>
      <c r="Y7" s="18"/>
      <c r="Z7" s="18"/>
      <c r="AA7" s="18"/>
      <c r="AB7" s="21" t="s">
        <v>166</v>
      </c>
      <c r="AC7" s="22" t="s">
        <v>173</v>
      </c>
      <c r="AD7" s="18"/>
      <c r="AE7" s="21" t="s">
        <v>166</v>
      </c>
      <c r="AF7" s="21" t="s">
        <v>177</v>
      </c>
      <c r="AG7" s="21" t="s">
        <v>188</v>
      </c>
      <c r="AH7" s="18"/>
      <c r="AI7" s="18"/>
      <c r="AJ7" s="18"/>
      <c r="AK7" s="18"/>
      <c r="AL7" s="18"/>
      <c r="AM7" s="18"/>
      <c r="AN7" s="21" t="s">
        <v>178</v>
      </c>
      <c r="AO7" s="18"/>
      <c r="AP7" s="18"/>
      <c r="AQ7" s="18"/>
      <c r="AR7" s="18"/>
      <c r="AS7" s="18"/>
      <c r="AT7" s="18"/>
      <c r="AU7" s="18"/>
      <c r="AV7" s="18"/>
      <c r="AW7" s="18"/>
      <c r="AX7" s="18"/>
      <c r="AY7" s="18"/>
      <c r="AZ7" s="15"/>
      <c r="BA7" s="15"/>
    </row>
    <row r="8" ht="18.75" customHeight="1">
      <c r="A8" s="1" t="s">
        <v>80</v>
      </c>
      <c r="B8" s="16" t="s">
        <v>81</v>
      </c>
      <c r="C8" s="17" t="str">
        <f>IMAGE("https://drive.google.com/uc?export=view&amp;id=1XduVUue6rnheAMdlVSEYV0_eFu0geikY", 4, 100, 100)</f>
        <v/>
      </c>
      <c r="D8" s="2" t="s">
        <v>82</v>
      </c>
      <c r="E8" s="2" t="s">
        <v>83</v>
      </c>
      <c r="F8" s="18"/>
      <c r="G8" s="21" t="s">
        <v>213</v>
      </c>
      <c r="H8" s="21" t="s">
        <v>164</v>
      </c>
      <c r="I8" s="21" t="s">
        <v>165</v>
      </c>
      <c r="J8" s="22" t="s">
        <v>193</v>
      </c>
      <c r="K8" s="22" t="s">
        <v>191</v>
      </c>
      <c r="L8" s="21" t="s">
        <v>232</v>
      </c>
      <c r="M8" s="21" t="s">
        <v>168</v>
      </c>
      <c r="N8" s="21" t="s">
        <v>208</v>
      </c>
      <c r="O8" s="21" t="s">
        <v>168</v>
      </c>
      <c r="P8" s="21" t="s">
        <v>169</v>
      </c>
      <c r="Q8" s="21" t="s">
        <v>174</v>
      </c>
      <c r="R8" s="21" t="s">
        <v>197</v>
      </c>
      <c r="S8" s="18"/>
      <c r="T8" s="18"/>
      <c r="U8" s="18"/>
      <c r="V8" s="18"/>
      <c r="W8" s="18"/>
      <c r="X8" s="21" t="s">
        <v>184</v>
      </c>
      <c r="Y8" s="18"/>
      <c r="Z8" s="18"/>
      <c r="AA8" s="21" t="s">
        <v>187</v>
      </c>
      <c r="AB8" s="18"/>
      <c r="AC8" s="22" t="s">
        <v>184</v>
      </c>
      <c r="AD8" s="18"/>
      <c r="AE8" s="21" t="s">
        <v>200</v>
      </c>
      <c r="AF8" s="21" t="s">
        <v>233</v>
      </c>
      <c r="AG8" s="21" t="s">
        <v>188</v>
      </c>
      <c r="AH8" s="18"/>
      <c r="AI8" s="18"/>
      <c r="AJ8" s="21" t="s">
        <v>42</v>
      </c>
      <c r="AK8" s="18"/>
      <c r="AL8" s="18"/>
      <c r="AM8" s="18"/>
      <c r="AN8" s="21" t="s">
        <v>225</v>
      </c>
      <c r="AO8" s="22" t="s">
        <v>221</v>
      </c>
      <c r="AP8" s="18"/>
      <c r="AQ8" s="18"/>
      <c r="AR8" s="18"/>
      <c r="AS8" s="18"/>
      <c r="AT8" s="21"/>
      <c r="AU8" s="18"/>
      <c r="AV8" s="18"/>
      <c r="AW8" s="21" t="s">
        <v>204</v>
      </c>
      <c r="AX8" s="18"/>
      <c r="AY8" s="18"/>
      <c r="AZ8" s="24" t="s">
        <v>234</v>
      </c>
      <c r="BA8" s="15"/>
    </row>
    <row r="9" ht="26.25" customHeight="1">
      <c r="A9" s="1" t="s">
        <v>84</v>
      </c>
      <c r="B9" s="16" t="s">
        <v>85</v>
      </c>
      <c r="C9" s="17" t="str">
        <f>IMAGE("https://drive.google.com/uc?export=view&amp;id=1-Xm53O1x22DSK1K9TYpva2sulz1oWVOa", 4, 100, 100)</f>
        <v/>
      </c>
      <c r="D9" s="2" t="s">
        <v>235</v>
      </c>
      <c r="E9" s="2" t="s">
        <v>87</v>
      </c>
      <c r="F9" s="18"/>
      <c r="G9" s="21" t="s">
        <v>236</v>
      </c>
      <c r="H9" s="21" t="s">
        <v>164</v>
      </c>
      <c r="I9" s="21" t="s">
        <v>165</v>
      </c>
      <c r="J9" s="22" t="s">
        <v>166</v>
      </c>
      <c r="K9" s="22" t="s">
        <v>167</v>
      </c>
      <c r="L9" s="21" t="s">
        <v>199</v>
      </c>
      <c r="M9" s="21" t="s">
        <v>168</v>
      </c>
      <c r="N9" s="21" t="s">
        <v>208</v>
      </c>
      <c r="O9" s="21" t="s">
        <v>168</v>
      </c>
      <c r="P9" s="21" t="s">
        <v>169</v>
      </c>
      <c r="Q9" s="21" t="s">
        <v>174</v>
      </c>
      <c r="R9" s="21" t="s">
        <v>237</v>
      </c>
      <c r="S9" s="18"/>
      <c r="T9" s="18"/>
      <c r="U9" s="21" t="s">
        <v>182</v>
      </c>
      <c r="V9" s="18"/>
      <c r="W9" s="22" t="s">
        <v>238</v>
      </c>
      <c r="X9" s="21" t="s">
        <v>239</v>
      </c>
      <c r="Y9" s="18"/>
      <c r="Z9" s="18"/>
      <c r="AA9" s="18"/>
      <c r="AB9" s="21" t="s">
        <v>199</v>
      </c>
      <c r="AC9" s="22" t="s">
        <v>239</v>
      </c>
      <c r="AD9" s="21" t="s">
        <v>184</v>
      </c>
      <c r="AE9" s="21" t="s">
        <v>166</v>
      </c>
      <c r="AF9" s="21" t="s">
        <v>240</v>
      </c>
      <c r="AG9" s="21" t="s">
        <v>241</v>
      </c>
      <c r="AH9" s="18"/>
      <c r="AI9" s="18"/>
      <c r="AJ9" s="21" t="s">
        <v>42</v>
      </c>
      <c r="AK9" s="18"/>
      <c r="AL9" s="18"/>
      <c r="AM9" s="18"/>
      <c r="AN9" s="21" t="s">
        <v>225</v>
      </c>
      <c r="AO9" s="22" t="s">
        <v>202</v>
      </c>
      <c r="AP9" s="18"/>
      <c r="AQ9" s="18"/>
      <c r="AR9" s="18"/>
      <c r="AS9" s="18"/>
      <c r="AT9" s="18"/>
      <c r="AU9" s="18"/>
      <c r="AV9" s="18"/>
      <c r="AW9" s="18"/>
      <c r="AX9" s="18"/>
      <c r="AY9" s="18"/>
      <c r="AZ9" s="24" t="s">
        <v>242</v>
      </c>
      <c r="BA9" s="15"/>
    </row>
    <row r="10" ht="25.5" customHeight="1">
      <c r="A10" s="1" t="s">
        <v>88</v>
      </c>
      <c r="B10" s="25" t="s">
        <v>89</v>
      </c>
      <c r="C10" s="17" t="str">
        <f>IMAGE("https://drive.google.com/uc?export=view&amp;id=1AKoQ-XoHxuN3UKw5aylfpyQpV97sQmO0", 4, 100, 100)</f>
        <v/>
      </c>
      <c r="D10" s="2" t="s">
        <v>90</v>
      </c>
      <c r="E10" s="2" t="s">
        <v>91</v>
      </c>
      <c r="F10" s="18"/>
      <c r="G10" s="18"/>
      <c r="H10" s="21" t="s">
        <v>164</v>
      </c>
      <c r="I10" s="21" t="s">
        <v>194</v>
      </c>
      <c r="J10" s="22" t="s">
        <v>166</v>
      </c>
      <c r="K10" s="22" t="s">
        <v>191</v>
      </c>
      <c r="L10" s="21" t="s">
        <v>199</v>
      </c>
      <c r="M10" s="21" t="s">
        <v>168</v>
      </c>
      <c r="N10" s="21" t="s">
        <v>196</v>
      </c>
      <c r="O10" s="21" t="s">
        <v>168</v>
      </c>
      <c r="P10" s="21" t="s">
        <v>223</v>
      </c>
      <c r="Q10" s="21" t="s">
        <v>170</v>
      </c>
      <c r="R10" s="21" t="s">
        <v>237</v>
      </c>
      <c r="S10" s="18"/>
      <c r="T10" s="18"/>
      <c r="U10" s="21" t="s">
        <v>182</v>
      </c>
      <c r="V10" s="18"/>
      <c r="W10" s="18"/>
      <c r="X10" s="21" t="s">
        <v>184</v>
      </c>
      <c r="Y10" s="18"/>
      <c r="Z10" s="18"/>
      <c r="AA10" s="18"/>
      <c r="AB10" s="21" t="s">
        <v>166</v>
      </c>
      <c r="AC10" s="22" t="s">
        <v>184</v>
      </c>
      <c r="AD10" s="21" t="s">
        <v>184</v>
      </c>
      <c r="AE10" s="21" t="s">
        <v>166</v>
      </c>
      <c r="AF10" s="21" t="s">
        <v>228</v>
      </c>
      <c r="AG10" s="21"/>
      <c r="AH10" s="18"/>
      <c r="AI10" s="18"/>
      <c r="AJ10" s="18"/>
      <c r="AK10" s="18"/>
      <c r="AL10" s="18"/>
      <c r="AM10" s="18"/>
      <c r="AN10" s="18"/>
      <c r="AO10" s="18"/>
      <c r="AP10" s="18"/>
      <c r="AQ10" s="18"/>
      <c r="AR10" s="21" t="s">
        <v>243</v>
      </c>
      <c r="AS10" s="18"/>
      <c r="AT10" s="18"/>
      <c r="AU10" s="18"/>
      <c r="AV10" s="18"/>
      <c r="AW10" s="18"/>
      <c r="AX10" s="18"/>
      <c r="AY10" s="18"/>
      <c r="AZ10" s="15"/>
      <c r="BA10" s="15"/>
    </row>
    <row r="11" ht="18.0" customHeight="1">
      <c r="A11" s="1" t="s">
        <v>92</v>
      </c>
      <c r="B11" s="16" t="s">
        <v>93</v>
      </c>
      <c r="C11" s="17" t="str">
        <f>IMAGE("https://drive.google.com/uc?export=view&amp;id=1Oza3KMMixd8mOEaWvtNzFsH-1Pr5dzqD", 4, 100, 100)</f>
        <v/>
      </c>
      <c r="D11" s="2" t="s">
        <v>94</v>
      </c>
      <c r="E11" s="2" t="s">
        <v>95</v>
      </c>
      <c r="F11" s="18"/>
      <c r="G11" s="21" t="s">
        <v>213</v>
      </c>
      <c r="H11" s="21" t="s">
        <v>164</v>
      </c>
      <c r="I11" s="21" t="s">
        <v>165</v>
      </c>
      <c r="J11" s="22" t="s">
        <v>193</v>
      </c>
      <c r="K11" s="22" t="s">
        <v>191</v>
      </c>
      <c r="L11" s="21" t="s">
        <v>244</v>
      </c>
      <c r="M11" s="21" t="s">
        <v>168</v>
      </c>
      <c r="N11" s="21" t="s">
        <v>208</v>
      </c>
      <c r="O11" s="21" t="s">
        <v>168</v>
      </c>
      <c r="P11" s="21" t="s">
        <v>169</v>
      </c>
      <c r="Q11" s="21" t="s">
        <v>174</v>
      </c>
      <c r="R11" s="21" t="s">
        <v>245</v>
      </c>
      <c r="S11" s="18"/>
      <c r="T11" s="18"/>
      <c r="U11" s="18"/>
      <c r="V11" s="18"/>
      <c r="W11" s="18"/>
      <c r="X11" s="21" t="s">
        <v>184</v>
      </c>
      <c r="Y11" s="21" t="s">
        <v>185</v>
      </c>
      <c r="Z11" s="18"/>
      <c r="AA11" s="18"/>
      <c r="AB11" s="21" t="s">
        <v>166</v>
      </c>
      <c r="AC11" s="22" t="s">
        <v>184</v>
      </c>
      <c r="AD11" s="21" t="s">
        <v>184</v>
      </c>
      <c r="AE11" s="21" t="s">
        <v>166</v>
      </c>
      <c r="AF11" s="21" t="s">
        <v>240</v>
      </c>
      <c r="AG11" s="18"/>
      <c r="AH11" s="18"/>
      <c r="AI11" s="18"/>
      <c r="AJ11" s="18"/>
      <c r="AK11" s="18"/>
      <c r="AL11" s="18"/>
      <c r="AM11" s="18"/>
      <c r="AN11" s="18"/>
      <c r="AO11" s="18"/>
      <c r="AP11" s="18"/>
      <c r="AQ11" s="18"/>
      <c r="AR11" s="18"/>
      <c r="AS11" s="18"/>
      <c r="AT11" s="18"/>
      <c r="AU11" s="18"/>
      <c r="AV11" s="18"/>
      <c r="AW11" s="18"/>
      <c r="AX11" s="18"/>
      <c r="AY11" s="18"/>
      <c r="AZ11" s="15"/>
      <c r="BA11" s="15"/>
    </row>
    <row r="12" ht="30.75" customHeight="1">
      <c r="A12" s="1" t="s">
        <v>96</v>
      </c>
      <c r="B12" s="16" t="s">
        <v>97</v>
      </c>
      <c r="C12" s="17" t="str">
        <f>IMAGE("https://drive.google.com/uc?export=view&amp;id=1Tvarsnfxg3ZicRhH_EuUxr7IryjTQtan", 4, 100, 100)</f>
        <v/>
      </c>
      <c r="D12" s="2" t="s">
        <v>98</v>
      </c>
      <c r="E12" s="2" t="s">
        <v>99</v>
      </c>
      <c r="F12" s="18"/>
      <c r="G12" s="21" t="s">
        <v>236</v>
      </c>
      <c r="H12" s="21" t="s">
        <v>164</v>
      </c>
      <c r="I12" s="21" t="s">
        <v>165</v>
      </c>
      <c r="J12" s="22" t="s">
        <v>166</v>
      </c>
      <c r="K12" s="22" t="s">
        <v>191</v>
      </c>
      <c r="L12" s="21" t="s">
        <v>199</v>
      </c>
      <c r="M12" s="21" t="s">
        <v>168</v>
      </c>
      <c r="N12" s="21" t="s">
        <v>208</v>
      </c>
      <c r="O12" s="21" t="s">
        <v>168</v>
      </c>
      <c r="P12" s="21" t="s">
        <v>169</v>
      </c>
      <c r="Q12" s="21" t="s">
        <v>174</v>
      </c>
      <c r="R12" s="21" t="s">
        <v>197</v>
      </c>
      <c r="S12" s="18"/>
      <c r="T12" s="18"/>
      <c r="U12" s="18"/>
      <c r="V12" s="18"/>
      <c r="W12" s="18"/>
      <c r="X12" s="18"/>
      <c r="Y12" s="18"/>
      <c r="Z12" s="18"/>
      <c r="AA12" s="18"/>
      <c r="AB12" s="18"/>
      <c r="AC12" s="18"/>
      <c r="AD12" s="18"/>
      <c r="AE12" s="21" t="s">
        <v>166</v>
      </c>
      <c r="AF12" s="18"/>
      <c r="AG12" s="21" t="s">
        <v>241</v>
      </c>
      <c r="AH12" s="18"/>
      <c r="AI12" s="18"/>
      <c r="AJ12" s="18"/>
      <c r="AK12" s="18"/>
      <c r="AL12" s="18"/>
      <c r="AM12" s="18"/>
      <c r="AN12" s="21" t="s">
        <v>246</v>
      </c>
      <c r="AO12" s="22" t="s">
        <v>202</v>
      </c>
      <c r="AP12" s="18"/>
      <c r="AQ12" s="18"/>
      <c r="AR12" s="18"/>
      <c r="AS12" s="18"/>
      <c r="AT12" s="18"/>
      <c r="AU12" s="18"/>
      <c r="AV12" s="18"/>
      <c r="AW12" s="18"/>
      <c r="AX12" s="18"/>
      <c r="AY12" s="18"/>
      <c r="AZ12" s="15"/>
      <c r="BA12" s="15"/>
    </row>
    <row r="13" ht="25.5" customHeight="1">
      <c r="A13" s="1" t="s">
        <v>100</v>
      </c>
      <c r="B13" s="16" t="s">
        <v>101</v>
      </c>
      <c r="C13" s="17" t="str">
        <f>IMAGE("https://drive.google.com/uc?export=view&amp;id=1EHae-Ca2CBMJdJuhDkP2spQhUDSyj10i", 4, 100, 100)</f>
        <v/>
      </c>
      <c r="D13" s="2" t="s">
        <v>102</v>
      </c>
      <c r="E13" s="2" t="s">
        <v>103</v>
      </c>
      <c r="F13" s="18"/>
      <c r="G13" s="21" t="s">
        <v>213</v>
      </c>
      <c r="H13" s="21" t="s">
        <v>164</v>
      </c>
      <c r="I13" s="21" t="s">
        <v>194</v>
      </c>
      <c r="J13" s="22" t="s">
        <v>166</v>
      </c>
      <c r="K13" s="22" t="s">
        <v>167</v>
      </c>
      <c r="L13" s="26" t="s">
        <v>247</v>
      </c>
      <c r="M13" s="21" t="s">
        <v>168</v>
      </c>
      <c r="N13" s="21" t="s">
        <v>208</v>
      </c>
      <c r="O13" s="21" t="s">
        <v>168</v>
      </c>
      <c r="P13" s="21" t="s">
        <v>248</v>
      </c>
      <c r="Q13" s="21" t="s">
        <v>174</v>
      </c>
      <c r="R13" s="21" t="s">
        <v>249</v>
      </c>
      <c r="S13" s="18"/>
      <c r="T13" s="18"/>
      <c r="U13" s="18"/>
      <c r="V13" s="18"/>
      <c r="W13" s="18"/>
      <c r="X13" s="21" t="s">
        <v>184</v>
      </c>
      <c r="Y13" s="18"/>
      <c r="Z13" s="18"/>
      <c r="AA13" s="18"/>
      <c r="AB13" s="21" t="s">
        <v>166</v>
      </c>
      <c r="AC13" s="22" t="s">
        <v>184</v>
      </c>
      <c r="AD13" s="21" t="s">
        <v>184</v>
      </c>
      <c r="AE13" s="21" t="s">
        <v>166</v>
      </c>
      <c r="AF13" s="21" t="s">
        <v>177</v>
      </c>
      <c r="AG13" s="18"/>
      <c r="AH13" s="18"/>
      <c r="AI13" s="18"/>
      <c r="AJ13" s="18"/>
      <c r="AK13" s="18"/>
      <c r="AL13" s="18"/>
      <c r="AM13" s="18"/>
      <c r="AN13" s="18"/>
      <c r="AO13" s="22" t="s">
        <v>202</v>
      </c>
      <c r="AP13" s="21" t="s">
        <v>250</v>
      </c>
      <c r="AQ13" s="18"/>
      <c r="AR13" s="18"/>
      <c r="AS13" s="18"/>
      <c r="AT13" s="18"/>
      <c r="AU13" s="21" t="s">
        <v>173</v>
      </c>
      <c r="AV13" s="18"/>
      <c r="AW13" s="18"/>
      <c r="AX13" s="18"/>
      <c r="AY13" s="18"/>
      <c r="AZ13" s="15"/>
      <c r="BA13" s="15"/>
    </row>
    <row r="14" ht="22.5" customHeight="1">
      <c r="A14" s="27" t="s">
        <v>251</v>
      </c>
      <c r="B14" s="28" t="s">
        <v>252</v>
      </c>
      <c r="C14" s="29" t="str">
        <f>IMAGE("https://drive.google.com/uc?export=view&amp;id=1M9N28XGb0oTmUbuYC4CcY_-7cwuteGmU", 4, 100, 100)</f>
        <v/>
      </c>
      <c r="D14" s="30"/>
      <c r="E14" s="31" t="s">
        <v>134</v>
      </c>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row>
    <row r="15" ht="6.0" customHeight="1">
      <c r="A15" s="27" t="s">
        <v>253</v>
      </c>
      <c r="B15" s="28" t="s">
        <v>254</v>
      </c>
      <c r="C15" s="29" t="str">
        <f>IMAGE("https://drive.google.com/uc?export=view&amp;id=125DhH89FIjjXQgSDHHj1xdkcFjZbdVYo", 4, 100, 100)</f>
        <v/>
      </c>
      <c r="D15" s="31" t="s">
        <v>255</v>
      </c>
      <c r="E15" s="31" t="s">
        <v>256</v>
      </c>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row>
    <row r="16">
      <c r="A16" s="27" t="s">
        <v>257</v>
      </c>
      <c r="B16" s="28" t="s">
        <v>258</v>
      </c>
      <c r="C16" s="29" t="str">
        <f>IMAGE("https://drive.google.com/uc?export=view&amp;id=1L0WphA_5NM5KnZbuwaj65KknaqVRAgaz", 4, 100, 100)</f>
        <v/>
      </c>
      <c r="D16" s="30"/>
      <c r="E16" s="31" t="s">
        <v>134</v>
      </c>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row>
    <row r="17">
      <c r="A17" s="27" t="s">
        <v>259</v>
      </c>
      <c r="B17" s="28" t="s">
        <v>260</v>
      </c>
      <c r="C17" s="29" t="str">
        <f>IMAGE("https://drive.google.com/uc?export=view&amp;id=1uDCbtY6ASPNzLTfzS1fWIWPha89v2qRN", 4, 100, 100)</f>
        <v/>
      </c>
      <c r="D17" s="30"/>
      <c r="E17" s="31" t="s">
        <v>134</v>
      </c>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row>
    <row r="18">
      <c r="A18" s="27" t="s">
        <v>261</v>
      </c>
      <c r="B18" s="28" t="s">
        <v>262</v>
      </c>
      <c r="C18" s="29" t="str">
        <f>IMAGE("https://drive.google.com/uc?export=view&amp;id=1SMSOPMhCPBDKCztW9QMas8O9e8eaahT7", 4, 100, 100)</f>
        <v/>
      </c>
      <c r="D18" s="30"/>
      <c r="E18" s="31" t="s">
        <v>134</v>
      </c>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row>
    <row r="19">
      <c r="A19" s="27" t="s">
        <v>263</v>
      </c>
      <c r="B19" s="28" t="s">
        <v>264</v>
      </c>
      <c r="C19" s="29" t="str">
        <f>IMAGE("https://drive.google.com/uc?export=view&amp;id=1L8GBNXjSBnVh7q3Bdxan7W1Rh2iKCGPw", 4, 100, 100)</f>
        <v/>
      </c>
      <c r="D19" s="30"/>
      <c r="E19" s="31" t="s">
        <v>134</v>
      </c>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row>
    <row r="20">
      <c r="A20" s="33" t="s">
        <v>265</v>
      </c>
      <c r="B20" s="34" t="s">
        <v>266</v>
      </c>
      <c r="C20" s="35" t="str">
        <f>IMAGE("https://drive.google.com/uc?export=view&amp;id=1LdpZlgRO6JQ6MgpqiEX7ugKs9kMD5cNX", 4, 100, 100)</f>
        <v/>
      </c>
      <c r="D20" s="36"/>
      <c r="E20" s="37" t="s">
        <v>134</v>
      </c>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row>
    <row r="21">
      <c r="A21" s="39" t="s">
        <v>267</v>
      </c>
      <c r="B21" s="40" t="s">
        <v>268</v>
      </c>
      <c r="C21" s="41" t="str">
        <f>IMAGE("https://drive.google.com/uc?export=view&amp;id=1R3g_DLdsiszhwFKIGw8dj8AnVnWISoEM", 4, 100, 100)</f>
        <v/>
      </c>
      <c r="D21" s="42"/>
      <c r="E21" s="43" t="s">
        <v>134</v>
      </c>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row>
    <row r="22">
      <c r="A22" s="39" t="s">
        <v>269</v>
      </c>
      <c r="B22" s="40" t="s">
        <v>270</v>
      </c>
      <c r="C22" s="41" t="str">
        <f>IMAGE("https://drive.google.com/uc?export=view&amp;id=1YNktfHd5UiG1CNJ-ciVDtokF0_26716i", 4, 100, 100)</f>
        <v/>
      </c>
      <c r="D22" s="42"/>
      <c r="E22" s="43" t="s">
        <v>134</v>
      </c>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row>
    <row r="23">
      <c r="A23" s="27" t="s">
        <v>271</v>
      </c>
      <c r="B23" s="28" t="s">
        <v>272</v>
      </c>
      <c r="C23" s="29" t="str">
        <f>IMAGE("https://drive.google.com/uc?export=view&amp;id=1gijO13TnyEjpTOvf58ZGwxIM3yIHDA0U", 4, 100, 100)</f>
        <v/>
      </c>
      <c r="D23" s="30"/>
      <c r="E23" s="31" t="s">
        <v>134</v>
      </c>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row>
    <row r="24" ht="20.25" customHeight="1">
      <c r="A24" s="1" t="s">
        <v>273</v>
      </c>
      <c r="B24" s="16" t="s">
        <v>274</v>
      </c>
      <c r="C24" s="17" t="str">
        <f>IMAGE("https://drive.google.com/uc?export=view&amp;id=1N-VjBQNp4NGhBS6pPX2AdFGXeGeMdZ1S", 4, 100, 100)</f>
        <v/>
      </c>
      <c r="D24" s="2" t="s">
        <v>275</v>
      </c>
      <c r="E24" s="2" t="s">
        <v>276</v>
      </c>
      <c r="F24" s="18"/>
      <c r="G24" s="21" t="s">
        <v>213</v>
      </c>
      <c r="H24" s="21" t="s">
        <v>164</v>
      </c>
      <c r="I24" s="21" t="s">
        <v>165</v>
      </c>
      <c r="J24" s="22" t="s">
        <v>166</v>
      </c>
      <c r="K24" s="22" t="s">
        <v>191</v>
      </c>
      <c r="L24" s="21" t="s">
        <v>232</v>
      </c>
      <c r="M24" s="21" t="s">
        <v>168</v>
      </c>
      <c r="N24" s="21" t="s">
        <v>208</v>
      </c>
      <c r="O24" s="21" t="s">
        <v>168</v>
      </c>
      <c r="P24" s="21" t="s">
        <v>169</v>
      </c>
      <c r="Q24" s="21" t="s">
        <v>174</v>
      </c>
      <c r="R24" s="21" t="s">
        <v>197</v>
      </c>
      <c r="S24" s="18"/>
      <c r="T24" s="18"/>
      <c r="U24" s="18"/>
      <c r="V24" s="18"/>
      <c r="W24" s="18"/>
      <c r="X24" s="21" t="s">
        <v>184</v>
      </c>
      <c r="Y24" s="21" t="s">
        <v>185</v>
      </c>
      <c r="Z24" s="18"/>
      <c r="AA24" s="18"/>
      <c r="AB24" s="21" t="s">
        <v>166</v>
      </c>
      <c r="AC24" s="22" t="s">
        <v>184</v>
      </c>
      <c r="AD24" s="21" t="s">
        <v>218</v>
      </c>
      <c r="AE24" s="21" t="s">
        <v>166</v>
      </c>
      <c r="AF24" s="21" t="s">
        <v>177</v>
      </c>
      <c r="AG24" s="18"/>
      <c r="AH24" s="18"/>
      <c r="AI24" s="18"/>
      <c r="AJ24" s="18"/>
      <c r="AK24" s="18"/>
      <c r="AL24" s="18"/>
      <c r="AM24" s="18"/>
      <c r="AN24" s="18"/>
      <c r="AO24" s="18"/>
      <c r="AP24" s="18"/>
      <c r="AQ24" s="18"/>
      <c r="AR24" s="18"/>
      <c r="AS24" s="18"/>
      <c r="AT24" s="18"/>
      <c r="AU24" s="18"/>
      <c r="AV24" s="18"/>
      <c r="AW24" s="18"/>
      <c r="AX24" s="18"/>
      <c r="AY24" s="18"/>
      <c r="AZ24" s="15"/>
      <c r="BA24" s="15"/>
    </row>
    <row r="25">
      <c r="A25" s="27" t="s">
        <v>277</v>
      </c>
      <c r="B25" s="28" t="s">
        <v>278</v>
      </c>
      <c r="C25" s="29" t="str">
        <f>IMAGE("https://drive.google.com/uc?export=view&amp;id=1Ud9oxAFjcGZiFL8Wy9oN4NARZQKofR5i", 4, 100, 100)</f>
        <v/>
      </c>
      <c r="D25" s="30"/>
      <c r="E25" s="31" t="s">
        <v>134</v>
      </c>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row>
    <row r="26" ht="18.75" customHeight="1">
      <c r="A26" s="1" t="s">
        <v>104</v>
      </c>
      <c r="B26" s="16" t="s">
        <v>105</v>
      </c>
      <c r="C26" s="17" t="str">
        <f>IMAGE("https://drive.google.com/uc?export=view&amp;id=1k6ocBN2POcpbbuWgsadcrC99GfnEruXp", 4, 100, 100)</f>
        <v/>
      </c>
      <c r="D26" s="2" t="s">
        <v>106</v>
      </c>
      <c r="E26" s="2" t="s">
        <v>107</v>
      </c>
      <c r="F26" s="18"/>
      <c r="G26" s="21" t="s">
        <v>279</v>
      </c>
      <c r="H26" s="21" t="s">
        <v>164</v>
      </c>
      <c r="I26" s="21" t="s">
        <v>165</v>
      </c>
      <c r="J26" s="22" t="s">
        <v>193</v>
      </c>
      <c r="K26" s="22" t="s">
        <v>167</v>
      </c>
      <c r="L26" s="21" t="s">
        <v>280</v>
      </c>
      <c r="M26" s="21" t="s">
        <v>168</v>
      </c>
      <c r="N26" s="21" t="s">
        <v>208</v>
      </c>
      <c r="O26" s="21" t="s">
        <v>208</v>
      </c>
      <c r="P26" s="21" t="s">
        <v>169</v>
      </c>
      <c r="Q26" s="21" t="s">
        <v>174</v>
      </c>
      <c r="R26" s="21" t="s">
        <v>249</v>
      </c>
      <c r="S26" s="18"/>
      <c r="T26" s="18"/>
      <c r="U26" s="21" t="s">
        <v>281</v>
      </c>
      <c r="V26" s="18"/>
      <c r="W26" s="22" t="s">
        <v>183</v>
      </c>
      <c r="X26" s="21" t="s">
        <v>184</v>
      </c>
      <c r="Y26" s="18"/>
      <c r="Z26" s="18"/>
      <c r="AA26" s="18"/>
      <c r="AB26" s="21" t="s">
        <v>166</v>
      </c>
      <c r="AC26" s="22" t="s">
        <v>184</v>
      </c>
      <c r="AD26" s="21" t="s">
        <v>218</v>
      </c>
      <c r="AE26" s="21" t="s">
        <v>282</v>
      </c>
      <c r="AF26" s="21" t="s">
        <v>177</v>
      </c>
      <c r="AG26" s="18"/>
      <c r="AH26" s="18"/>
      <c r="AI26" s="18"/>
      <c r="AJ26" s="18"/>
      <c r="AK26" s="18"/>
      <c r="AL26" s="18"/>
      <c r="AM26" s="18"/>
      <c r="AN26" s="21"/>
      <c r="AO26" s="22" t="s">
        <v>202</v>
      </c>
      <c r="AP26" s="18"/>
      <c r="AQ26" s="18"/>
      <c r="AR26" s="18"/>
      <c r="AS26" s="18"/>
      <c r="AT26" s="18"/>
      <c r="AU26" s="18"/>
      <c r="AV26" s="18"/>
      <c r="AW26" s="18"/>
      <c r="AX26" s="18"/>
      <c r="AY26" s="18"/>
      <c r="AZ26" s="15"/>
      <c r="BA26" s="15"/>
    </row>
    <row r="27">
      <c r="A27" s="1" t="s">
        <v>283</v>
      </c>
      <c r="B27" s="16" t="s">
        <v>284</v>
      </c>
      <c r="C27" s="17" t="str">
        <f>IMAGE("https://drive.google.com/uc?export=view&amp;id=1c2PE9rGWyNVr95fnPH7iqcLlmHUdjv9C", 4, 100, 100)</f>
        <v/>
      </c>
      <c r="D27" s="20"/>
      <c r="E27" s="2" t="s">
        <v>134</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5"/>
      <c r="BA27" s="15"/>
    </row>
    <row r="28" ht="24.75" customHeight="1">
      <c r="A28" s="1" t="s">
        <v>108</v>
      </c>
      <c r="B28" s="16" t="s">
        <v>109</v>
      </c>
      <c r="C28" s="17" t="str">
        <f>IMAGE("https://drive.google.com/uc?export=view&amp;id=1fQ5fzHB40zNWUeTpYSybFMA2Dlrud6kE", 4, 100, 100)</f>
        <v/>
      </c>
      <c r="D28" s="2" t="s">
        <v>110</v>
      </c>
      <c r="E28" s="2" t="s">
        <v>111</v>
      </c>
      <c r="F28" s="18"/>
      <c r="G28" s="21" t="s">
        <v>285</v>
      </c>
      <c r="H28" s="21" t="s">
        <v>164</v>
      </c>
      <c r="I28" s="21" t="s">
        <v>165</v>
      </c>
      <c r="J28" s="22" t="s">
        <v>166</v>
      </c>
      <c r="K28" s="22" t="s">
        <v>191</v>
      </c>
      <c r="L28" s="21" t="s">
        <v>247</v>
      </c>
      <c r="M28" s="21" t="s">
        <v>168</v>
      </c>
      <c r="N28" s="21" t="s">
        <v>208</v>
      </c>
      <c r="O28" s="21" t="s">
        <v>168</v>
      </c>
      <c r="P28" s="21" t="s">
        <v>169</v>
      </c>
      <c r="Q28" s="21" t="s">
        <v>174</v>
      </c>
      <c r="R28" s="21" t="s">
        <v>286</v>
      </c>
      <c r="S28" s="18"/>
      <c r="T28" s="18"/>
      <c r="U28" s="21"/>
      <c r="V28" s="18"/>
      <c r="W28" s="18"/>
      <c r="X28" s="21" t="s">
        <v>173</v>
      </c>
      <c r="Y28" s="18"/>
      <c r="Z28" s="21" t="s">
        <v>287</v>
      </c>
      <c r="AA28" s="18"/>
      <c r="AB28" s="18"/>
      <c r="AC28" s="22" t="s">
        <v>173</v>
      </c>
      <c r="AD28" s="21" t="s">
        <v>218</v>
      </c>
      <c r="AE28" s="21" t="s">
        <v>166</v>
      </c>
      <c r="AF28" s="21" t="s">
        <v>177</v>
      </c>
      <c r="AG28" s="21" t="s">
        <v>241</v>
      </c>
      <c r="AH28" s="18"/>
      <c r="AI28" s="18"/>
      <c r="AJ28" s="18"/>
      <c r="AK28" s="18"/>
      <c r="AL28" s="18"/>
      <c r="AM28" s="18"/>
      <c r="AN28" s="18"/>
      <c r="AO28" s="22" t="s">
        <v>202</v>
      </c>
      <c r="AP28" s="18"/>
      <c r="AQ28" s="18"/>
      <c r="AR28" s="18"/>
      <c r="AS28" s="18"/>
      <c r="AT28" s="21" t="s">
        <v>288</v>
      </c>
      <c r="AU28" s="21" t="s">
        <v>173</v>
      </c>
      <c r="AV28" s="18"/>
      <c r="AW28" s="18"/>
      <c r="AX28" s="18"/>
      <c r="AY28" s="18"/>
      <c r="AZ28" s="24" t="s">
        <v>289</v>
      </c>
      <c r="BA28" s="15"/>
    </row>
    <row r="29" ht="26.25" customHeight="1">
      <c r="A29" s="33" t="s">
        <v>290</v>
      </c>
      <c r="B29" s="34" t="s">
        <v>291</v>
      </c>
      <c r="C29" s="35" t="str">
        <f>IMAGE("https://drive.google.com/uc?export=view&amp;id=1dAeuLUZJxZPNSkvXJp7ExR7BHHGH_FXs", 4, 100, 100)</f>
        <v/>
      </c>
      <c r="D29" s="45" t="s">
        <v>292</v>
      </c>
      <c r="E29" s="45" t="s">
        <v>293</v>
      </c>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row>
    <row r="30">
      <c r="A30" s="27" t="s">
        <v>294</v>
      </c>
      <c r="B30" s="28" t="s">
        <v>295</v>
      </c>
      <c r="C30" s="29" t="str">
        <f>IMAGE("https://drive.google.com/uc?export=view&amp;id=1LATmy1nWCVX1nyHr6DGU6MhelRIbQmn3", 4, 100, 100)</f>
        <v/>
      </c>
      <c r="D30" s="31" t="s">
        <v>296</v>
      </c>
      <c r="E30" s="31" t="s">
        <v>297</v>
      </c>
      <c r="F30" s="32"/>
      <c r="G30" s="46" t="s">
        <v>298</v>
      </c>
      <c r="H30" s="46" t="s">
        <v>164</v>
      </c>
      <c r="I30" s="46" t="s">
        <v>194</v>
      </c>
      <c r="J30" s="47" t="s">
        <v>166</v>
      </c>
      <c r="K30" s="47" t="s">
        <v>191</v>
      </c>
      <c r="L30" s="46" t="s">
        <v>214</v>
      </c>
      <c r="M30" s="46" t="s">
        <v>168</v>
      </c>
      <c r="N30" s="46" t="s">
        <v>208</v>
      </c>
      <c r="O30" s="46" t="s">
        <v>208</v>
      </c>
      <c r="P30" s="46" t="s">
        <v>169</v>
      </c>
      <c r="Q30" s="46" t="s">
        <v>170</v>
      </c>
      <c r="R30" s="46" t="s">
        <v>197</v>
      </c>
      <c r="S30" s="32"/>
      <c r="T30" s="32"/>
      <c r="U30" s="32"/>
      <c r="V30" s="32"/>
      <c r="W30" s="32"/>
      <c r="X30" s="32"/>
      <c r="Y30" s="32"/>
      <c r="Z30" s="32"/>
      <c r="AA30" s="32"/>
      <c r="AB30" s="32"/>
      <c r="AC30" s="32"/>
      <c r="AD30" s="46" t="s">
        <v>218</v>
      </c>
      <c r="AE30" s="32"/>
      <c r="AF30" s="32"/>
      <c r="AG30" s="32"/>
      <c r="AH30" s="32"/>
      <c r="AI30" s="32"/>
      <c r="AJ30" s="32"/>
      <c r="AK30" s="32"/>
      <c r="AL30" s="32"/>
      <c r="AM30" s="32"/>
      <c r="AN30" s="32"/>
      <c r="AO30" s="32"/>
      <c r="AP30" s="32"/>
      <c r="AQ30" s="32"/>
      <c r="AR30" s="32"/>
      <c r="AS30" s="32"/>
      <c r="AT30" s="32"/>
      <c r="AU30" s="32"/>
      <c r="AV30" s="32"/>
      <c r="AW30" s="32"/>
      <c r="AX30" s="32"/>
      <c r="AY30" s="32"/>
      <c r="AZ30" s="32"/>
      <c r="BA30" s="32"/>
    </row>
    <row r="31">
      <c r="A31" s="1" t="s">
        <v>299</v>
      </c>
      <c r="B31" s="16" t="s">
        <v>300</v>
      </c>
      <c r="C31" s="17" t="str">
        <f>IMAGE("https://drive.google.com/uc?export=view&amp;id=1vRYacbkg2KAEGNM7JEmaG22ZlgZSbUDb", 4, 100, 100)</f>
        <v/>
      </c>
      <c r="D31" s="20"/>
      <c r="E31" s="2" t="s">
        <v>134</v>
      </c>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5"/>
      <c r="BA31" s="15"/>
    </row>
    <row r="32">
      <c r="A32" s="1" t="s">
        <v>301</v>
      </c>
      <c r="B32" s="16" t="s">
        <v>302</v>
      </c>
      <c r="C32" s="17" t="str">
        <f>IMAGE("https://drive.google.com/uc?export=view&amp;id=1Kgn_G5AWb3MeaXz9UFYL37FvaQRK4plG", 4, 100, 100)</f>
        <v/>
      </c>
      <c r="D32" s="20"/>
      <c r="E32" s="2" t="s">
        <v>134</v>
      </c>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5"/>
      <c r="BA32" s="15"/>
    </row>
    <row r="33">
      <c r="D33" s="20"/>
      <c r="E33" s="20"/>
    </row>
    <row r="34">
      <c r="D34" s="20"/>
      <c r="E34" s="20"/>
    </row>
    <row r="35">
      <c r="D35" s="20"/>
      <c r="E35" s="20"/>
    </row>
    <row r="36">
      <c r="D36" s="20"/>
      <c r="E36" s="20"/>
    </row>
    <row r="37">
      <c r="D37" s="20"/>
      <c r="E37" s="20"/>
    </row>
    <row r="38">
      <c r="D38" s="20"/>
      <c r="E38" s="20"/>
    </row>
    <row r="39">
      <c r="D39" s="20"/>
      <c r="E39" s="20"/>
    </row>
    <row r="40">
      <c r="D40" s="20"/>
      <c r="E40" s="20"/>
    </row>
    <row r="41">
      <c r="D41" s="20"/>
      <c r="E41" s="20"/>
    </row>
    <row r="42">
      <c r="D42" s="20"/>
      <c r="E42" s="20"/>
    </row>
    <row r="43">
      <c r="D43" s="20"/>
      <c r="E43" s="20"/>
    </row>
    <row r="44">
      <c r="D44" s="20"/>
      <c r="E44" s="20"/>
    </row>
    <row r="45">
      <c r="D45" s="20"/>
      <c r="E45" s="20"/>
    </row>
    <row r="46">
      <c r="D46" s="20"/>
      <c r="E46" s="20"/>
    </row>
    <row r="47">
      <c r="D47" s="20"/>
      <c r="E47" s="20"/>
    </row>
    <row r="48">
      <c r="D48" s="20"/>
      <c r="E48" s="20"/>
    </row>
    <row r="49">
      <c r="D49" s="20"/>
      <c r="E49" s="20"/>
    </row>
    <row r="50">
      <c r="D50" s="20"/>
      <c r="E50" s="20"/>
    </row>
    <row r="51">
      <c r="D51" s="20"/>
      <c r="E51" s="20"/>
    </row>
    <row r="52">
      <c r="D52" s="20"/>
      <c r="E52" s="20"/>
    </row>
    <row r="53">
      <c r="D53" s="20"/>
      <c r="E53" s="20"/>
    </row>
    <row r="54">
      <c r="D54" s="20"/>
      <c r="E54" s="20"/>
    </row>
    <row r="55">
      <c r="D55" s="20"/>
      <c r="E55" s="20"/>
    </row>
    <row r="56">
      <c r="D56" s="20"/>
      <c r="E56" s="20"/>
    </row>
    <row r="57">
      <c r="D57" s="20"/>
      <c r="E57" s="20"/>
    </row>
    <row r="58">
      <c r="D58" s="20"/>
      <c r="E58" s="20"/>
    </row>
    <row r="59">
      <c r="D59" s="20"/>
      <c r="E59" s="20"/>
    </row>
    <row r="60">
      <c r="D60" s="20"/>
      <c r="E60" s="20"/>
    </row>
    <row r="61">
      <c r="D61" s="20"/>
      <c r="E61" s="20"/>
    </row>
    <row r="62">
      <c r="D62" s="20"/>
      <c r="E62" s="20"/>
    </row>
    <row r="63">
      <c r="D63" s="20"/>
      <c r="E63" s="20"/>
    </row>
    <row r="64">
      <c r="D64" s="20"/>
      <c r="E64" s="20"/>
    </row>
    <row r="65">
      <c r="D65" s="20"/>
      <c r="E65" s="20"/>
    </row>
    <row r="66">
      <c r="D66" s="20"/>
      <c r="E66" s="20"/>
    </row>
    <row r="67">
      <c r="D67" s="20"/>
      <c r="E67" s="20"/>
    </row>
    <row r="68">
      <c r="D68" s="20"/>
      <c r="E68" s="20"/>
    </row>
    <row r="69">
      <c r="D69" s="20"/>
      <c r="E69" s="20"/>
    </row>
    <row r="70">
      <c r="D70" s="20"/>
      <c r="E70" s="20"/>
    </row>
    <row r="71">
      <c r="D71" s="20"/>
      <c r="E71" s="20"/>
    </row>
    <row r="72">
      <c r="D72" s="20"/>
      <c r="E72" s="20"/>
    </row>
    <row r="73">
      <c r="D73" s="20"/>
      <c r="E73" s="20"/>
    </row>
    <row r="74">
      <c r="D74" s="20"/>
      <c r="E74" s="20"/>
    </row>
    <row r="75">
      <c r="D75" s="20"/>
      <c r="E75" s="20"/>
    </row>
    <row r="76">
      <c r="D76" s="20"/>
      <c r="E76" s="20"/>
    </row>
    <row r="77">
      <c r="D77" s="20"/>
      <c r="E77" s="20"/>
    </row>
    <row r="78">
      <c r="D78" s="20"/>
      <c r="E78" s="20"/>
    </row>
    <row r="79">
      <c r="D79" s="20"/>
      <c r="E79" s="20"/>
    </row>
    <row r="80">
      <c r="D80" s="20"/>
      <c r="E80" s="20"/>
    </row>
    <row r="81">
      <c r="D81" s="20"/>
      <c r="E81" s="20"/>
    </row>
    <row r="82">
      <c r="D82" s="20"/>
      <c r="E82" s="20"/>
    </row>
    <row r="83">
      <c r="D83" s="20"/>
      <c r="E83" s="20"/>
    </row>
    <row r="84">
      <c r="D84" s="20"/>
      <c r="E84" s="20"/>
    </row>
    <row r="85">
      <c r="D85" s="20"/>
      <c r="E85" s="20"/>
    </row>
    <row r="86">
      <c r="D86" s="20"/>
      <c r="E86" s="20"/>
    </row>
    <row r="87">
      <c r="D87" s="20"/>
      <c r="E87" s="20"/>
    </row>
    <row r="88">
      <c r="D88" s="20"/>
      <c r="E88" s="20"/>
    </row>
    <row r="89">
      <c r="D89" s="20"/>
      <c r="E89" s="20"/>
    </row>
    <row r="90">
      <c r="D90" s="20"/>
      <c r="E90" s="20"/>
    </row>
    <row r="91">
      <c r="D91" s="20"/>
      <c r="E91" s="20"/>
    </row>
    <row r="92">
      <c r="D92" s="20"/>
      <c r="E92" s="20"/>
    </row>
    <row r="93">
      <c r="D93" s="20"/>
      <c r="E93" s="20"/>
    </row>
    <row r="94">
      <c r="D94" s="20"/>
      <c r="E94" s="20"/>
    </row>
    <row r="95">
      <c r="D95" s="20"/>
      <c r="E95" s="20"/>
    </row>
    <row r="96">
      <c r="D96" s="20"/>
      <c r="E96" s="20"/>
    </row>
    <row r="97">
      <c r="D97" s="20"/>
      <c r="E97" s="20"/>
    </row>
    <row r="98">
      <c r="D98" s="20"/>
      <c r="E98" s="20"/>
    </row>
    <row r="99">
      <c r="D99" s="20"/>
      <c r="E99" s="20"/>
    </row>
    <row r="100">
      <c r="D100" s="20"/>
      <c r="E100" s="20"/>
    </row>
    <row r="101">
      <c r="D101" s="20"/>
      <c r="E101" s="20"/>
    </row>
    <row r="102">
      <c r="D102" s="20"/>
      <c r="E102" s="20"/>
    </row>
    <row r="103">
      <c r="D103" s="20"/>
      <c r="E103" s="20"/>
    </row>
    <row r="104">
      <c r="D104" s="20"/>
      <c r="E104" s="20"/>
    </row>
    <row r="105">
      <c r="D105" s="20"/>
      <c r="E105" s="20"/>
    </row>
    <row r="106">
      <c r="D106" s="20"/>
      <c r="E106" s="20"/>
    </row>
    <row r="107">
      <c r="D107" s="20"/>
      <c r="E107" s="20"/>
    </row>
    <row r="108">
      <c r="D108" s="20"/>
      <c r="E108" s="20"/>
    </row>
    <row r="109">
      <c r="D109" s="20"/>
      <c r="E109" s="20"/>
    </row>
    <row r="110">
      <c r="D110" s="20"/>
      <c r="E110" s="20"/>
    </row>
    <row r="111">
      <c r="D111" s="20"/>
      <c r="E111" s="20"/>
    </row>
    <row r="112">
      <c r="D112" s="20"/>
      <c r="E112" s="20"/>
    </row>
    <row r="113">
      <c r="D113" s="20"/>
      <c r="E113" s="20"/>
    </row>
    <row r="114">
      <c r="D114" s="20"/>
      <c r="E114" s="20"/>
    </row>
    <row r="115">
      <c r="D115" s="20"/>
      <c r="E115" s="20"/>
    </row>
    <row r="116">
      <c r="D116" s="20"/>
      <c r="E116" s="20"/>
    </row>
    <row r="117">
      <c r="D117" s="20"/>
      <c r="E117" s="20"/>
    </row>
    <row r="118">
      <c r="D118" s="20"/>
      <c r="E118" s="20"/>
    </row>
    <row r="119">
      <c r="D119" s="20"/>
      <c r="E119" s="20"/>
    </row>
    <row r="120">
      <c r="D120" s="20"/>
      <c r="E120" s="20"/>
    </row>
    <row r="121">
      <c r="D121" s="20"/>
      <c r="E121" s="20"/>
    </row>
    <row r="122">
      <c r="D122" s="20"/>
      <c r="E122" s="20"/>
    </row>
    <row r="123">
      <c r="D123" s="20"/>
      <c r="E123" s="20"/>
    </row>
    <row r="124">
      <c r="D124" s="20"/>
      <c r="E124" s="20"/>
    </row>
    <row r="125">
      <c r="D125" s="20"/>
      <c r="E125" s="20"/>
    </row>
    <row r="126">
      <c r="D126" s="20"/>
      <c r="E126" s="20"/>
    </row>
    <row r="127">
      <c r="D127" s="20"/>
      <c r="E127" s="20"/>
    </row>
    <row r="128">
      <c r="D128" s="20"/>
      <c r="E128" s="20"/>
    </row>
    <row r="129">
      <c r="D129" s="20"/>
      <c r="E129" s="20"/>
    </row>
    <row r="130">
      <c r="D130" s="20"/>
      <c r="E130" s="20"/>
    </row>
    <row r="131">
      <c r="D131" s="20"/>
      <c r="E131" s="20"/>
    </row>
    <row r="132">
      <c r="D132" s="20"/>
      <c r="E132" s="20"/>
    </row>
    <row r="133">
      <c r="D133" s="20"/>
      <c r="E133" s="20"/>
    </row>
    <row r="134">
      <c r="D134" s="20"/>
      <c r="E134" s="20"/>
    </row>
    <row r="135">
      <c r="D135" s="20"/>
      <c r="E135" s="20"/>
    </row>
    <row r="136">
      <c r="D136" s="20"/>
      <c r="E136" s="20"/>
    </row>
    <row r="137">
      <c r="D137" s="20"/>
      <c r="E137" s="20"/>
    </row>
    <row r="138">
      <c r="D138" s="20"/>
      <c r="E138" s="20"/>
    </row>
    <row r="139">
      <c r="D139" s="20"/>
      <c r="E139" s="20"/>
    </row>
    <row r="140">
      <c r="D140" s="20"/>
      <c r="E140" s="20"/>
    </row>
    <row r="141">
      <c r="D141" s="20"/>
      <c r="E141" s="20"/>
    </row>
    <row r="142">
      <c r="D142" s="20"/>
      <c r="E142" s="20"/>
    </row>
    <row r="143">
      <c r="D143" s="20"/>
      <c r="E143" s="20"/>
    </row>
    <row r="144">
      <c r="D144" s="20"/>
      <c r="E144" s="20"/>
    </row>
    <row r="145">
      <c r="D145" s="20"/>
      <c r="E145" s="20"/>
    </row>
    <row r="146">
      <c r="D146" s="20"/>
      <c r="E146" s="20"/>
    </row>
    <row r="147">
      <c r="D147" s="20"/>
      <c r="E147" s="20"/>
    </row>
    <row r="148">
      <c r="D148" s="20"/>
      <c r="E148" s="20"/>
    </row>
    <row r="149">
      <c r="D149" s="20"/>
      <c r="E149" s="20"/>
    </row>
    <row r="150">
      <c r="D150" s="20"/>
      <c r="E150" s="20"/>
    </row>
    <row r="151">
      <c r="D151" s="20"/>
      <c r="E151" s="20"/>
    </row>
    <row r="152">
      <c r="D152" s="20"/>
      <c r="E152" s="20"/>
    </row>
    <row r="153">
      <c r="D153" s="20"/>
      <c r="E153" s="20"/>
    </row>
    <row r="154">
      <c r="D154" s="20"/>
      <c r="E154" s="20"/>
    </row>
    <row r="155">
      <c r="D155" s="20"/>
      <c r="E155" s="20"/>
    </row>
    <row r="156">
      <c r="D156" s="20"/>
      <c r="E156" s="20"/>
    </row>
    <row r="157">
      <c r="D157" s="20"/>
      <c r="E157" s="20"/>
    </row>
    <row r="158">
      <c r="D158" s="20"/>
      <c r="E158" s="20"/>
    </row>
    <row r="159">
      <c r="D159" s="20"/>
      <c r="E159" s="20"/>
    </row>
    <row r="160">
      <c r="D160" s="20"/>
      <c r="E160" s="20"/>
    </row>
    <row r="161">
      <c r="D161" s="20"/>
      <c r="E161" s="20"/>
    </row>
    <row r="162">
      <c r="D162" s="20"/>
      <c r="E162" s="20"/>
    </row>
    <row r="163">
      <c r="D163" s="20"/>
      <c r="E163" s="20"/>
    </row>
    <row r="164">
      <c r="D164" s="20"/>
      <c r="E164" s="20"/>
    </row>
    <row r="165">
      <c r="D165" s="20"/>
      <c r="E165" s="20"/>
    </row>
    <row r="166">
      <c r="D166" s="20"/>
      <c r="E166" s="20"/>
    </row>
    <row r="167">
      <c r="D167" s="20"/>
      <c r="E167" s="20"/>
    </row>
    <row r="168">
      <c r="D168" s="20"/>
      <c r="E168" s="20"/>
    </row>
    <row r="169">
      <c r="D169" s="20"/>
      <c r="E169" s="20"/>
    </row>
    <row r="170">
      <c r="D170" s="20"/>
      <c r="E170" s="20"/>
    </row>
    <row r="171">
      <c r="D171" s="20"/>
      <c r="E171" s="20"/>
    </row>
    <row r="172">
      <c r="D172" s="20"/>
      <c r="E172" s="20"/>
    </row>
    <row r="173">
      <c r="D173" s="20"/>
      <c r="E173" s="20"/>
    </row>
    <row r="174">
      <c r="D174" s="20"/>
      <c r="E174" s="20"/>
    </row>
    <row r="175">
      <c r="D175" s="20"/>
      <c r="E175" s="20"/>
    </row>
    <row r="176">
      <c r="D176" s="20"/>
      <c r="E176" s="20"/>
    </row>
    <row r="177">
      <c r="D177" s="20"/>
      <c r="E177" s="20"/>
    </row>
    <row r="178">
      <c r="D178" s="20"/>
      <c r="E178" s="20"/>
    </row>
    <row r="179">
      <c r="D179" s="20"/>
      <c r="E179" s="20"/>
    </row>
    <row r="180">
      <c r="D180" s="20"/>
      <c r="E180" s="20"/>
    </row>
    <row r="181">
      <c r="D181" s="20"/>
      <c r="E181" s="20"/>
    </row>
    <row r="182">
      <c r="D182" s="20"/>
      <c r="E182" s="20"/>
    </row>
    <row r="183">
      <c r="D183" s="20"/>
      <c r="E183" s="20"/>
    </row>
    <row r="184">
      <c r="D184" s="20"/>
      <c r="E184" s="20"/>
    </row>
    <row r="185">
      <c r="D185" s="20"/>
      <c r="E185" s="20"/>
    </row>
    <row r="186">
      <c r="D186" s="20"/>
      <c r="E186" s="20"/>
    </row>
    <row r="187">
      <c r="D187" s="20"/>
      <c r="E187" s="20"/>
    </row>
    <row r="188">
      <c r="D188" s="20"/>
      <c r="E188" s="20"/>
    </row>
    <row r="189">
      <c r="D189" s="20"/>
      <c r="E189" s="20"/>
    </row>
    <row r="190">
      <c r="D190" s="20"/>
      <c r="E190" s="20"/>
    </row>
    <row r="191">
      <c r="D191" s="20"/>
      <c r="E191" s="20"/>
    </row>
    <row r="192">
      <c r="D192" s="20"/>
      <c r="E192" s="20"/>
    </row>
    <row r="193">
      <c r="D193" s="20"/>
      <c r="E193" s="20"/>
    </row>
    <row r="194">
      <c r="D194" s="20"/>
      <c r="E194" s="20"/>
    </row>
    <row r="195">
      <c r="D195" s="20"/>
      <c r="E195" s="20"/>
    </row>
    <row r="196">
      <c r="D196" s="20"/>
      <c r="E196" s="20"/>
    </row>
    <row r="197">
      <c r="D197" s="20"/>
      <c r="E197" s="20"/>
    </row>
    <row r="198">
      <c r="D198" s="20"/>
      <c r="E198" s="20"/>
    </row>
    <row r="199">
      <c r="D199" s="20"/>
      <c r="E199" s="20"/>
    </row>
    <row r="200">
      <c r="D200" s="20"/>
      <c r="E200" s="20"/>
    </row>
    <row r="201">
      <c r="D201" s="20"/>
      <c r="E201" s="20"/>
    </row>
    <row r="202">
      <c r="D202" s="20"/>
      <c r="E202" s="20"/>
    </row>
    <row r="203">
      <c r="D203" s="20"/>
      <c r="E203" s="20"/>
    </row>
    <row r="204">
      <c r="D204" s="20"/>
      <c r="E204" s="20"/>
    </row>
    <row r="205">
      <c r="D205" s="20"/>
      <c r="E205" s="20"/>
    </row>
    <row r="206">
      <c r="D206" s="20"/>
      <c r="E206" s="20"/>
    </row>
    <row r="207">
      <c r="D207" s="20"/>
      <c r="E207" s="20"/>
    </row>
    <row r="208">
      <c r="D208" s="20"/>
      <c r="E208" s="20"/>
    </row>
    <row r="209">
      <c r="D209" s="20"/>
      <c r="E209" s="20"/>
    </row>
    <row r="210">
      <c r="D210" s="20"/>
      <c r="E210" s="20"/>
    </row>
    <row r="211">
      <c r="D211" s="20"/>
      <c r="E211" s="20"/>
    </row>
    <row r="212">
      <c r="D212" s="20"/>
      <c r="E212" s="20"/>
    </row>
    <row r="213">
      <c r="D213" s="20"/>
      <c r="E213" s="20"/>
    </row>
    <row r="214">
      <c r="D214" s="20"/>
      <c r="E214" s="20"/>
    </row>
    <row r="215">
      <c r="D215" s="20"/>
      <c r="E215" s="20"/>
    </row>
    <row r="216">
      <c r="D216" s="20"/>
      <c r="E216" s="20"/>
    </row>
    <row r="217">
      <c r="D217" s="20"/>
      <c r="E217" s="20"/>
    </row>
    <row r="218">
      <c r="D218" s="20"/>
      <c r="E218" s="20"/>
    </row>
    <row r="219">
      <c r="D219" s="20"/>
      <c r="E219" s="20"/>
    </row>
    <row r="220">
      <c r="D220" s="20"/>
      <c r="E220" s="20"/>
    </row>
    <row r="221">
      <c r="D221" s="20"/>
      <c r="E221" s="20"/>
    </row>
    <row r="222">
      <c r="D222" s="20"/>
      <c r="E222" s="20"/>
    </row>
    <row r="223">
      <c r="D223" s="20"/>
      <c r="E223" s="20"/>
    </row>
    <row r="224">
      <c r="D224" s="20"/>
      <c r="E224" s="20"/>
    </row>
    <row r="225">
      <c r="D225" s="20"/>
      <c r="E225" s="20"/>
    </row>
    <row r="226">
      <c r="D226" s="20"/>
      <c r="E226" s="20"/>
    </row>
    <row r="227">
      <c r="D227" s="20"/>
      <c r="E227" s="20"/>
    </row>
    <row r="228">
      <c r="D228" s="20"/>
      <c r="E228" s="20"/>
    </row>
    <row r="229">
      <c r="D229" s="20"/>
      <c r="E229" s="20"/>
    </row>
    <row r="230">
      <c r="D230" s="20"/>
      <c r="E230" s="20"/>
    </row>
    <row r="231">
      <c r="D231" s="20"/>
      <c r="E231" s="20"/>
    </row>
    <row r="232">
      <c r="D232" s="20"/>
      <c r="E232" s="20"/>
    </row>
    <row r="233">
      <c r="D233" s="20"/>
      <c r="E233" s="20"/>
    </row>
    <row r="234">
      <c r="D234" s="20"/>
      <c r="E234" s="20"/>
    </row>
    <row r="235">
      <c r="D235" s="20"/>
      <c r="E235" s="20"/>
    </row>
    <row r="236">
      <c r="D236" s="20"/>
      <c r="E236" s="20"/>
    </row>
    <row r="237">
      <c r="D237" s="20"/>
      <c r="E237" s="20"/>
    </row>
    <row r="238">
      <c r="D238" s="20"/>
      <c r="E238" s="20"/>
    </row>
    <row r="239">
      <c r="D239" s="20"/>
      <c r="E239" s="20"/>
    </row>
    <row r="240">
      <c r="D240" s="20"/>
      <c r="E240" s="20"/>
    </row>
    <row r="241">
      <c r="D241" s="20"/>
      <c r="E241" s="20"/>
    </row>
    <row r="242">
      <c r="D242" s="20"/>
      <c r="E242" s="20"/>
    </row>
    <row r="243">
      <c r="D243" s="20"/>
      <c r="E243" s="20"/>
    </row>
    <row r="244">
      <c r="D244" s="20"/>
      <c r="E244" s="20"/>
    </row>
    <row r="245">
      <c r="D245" s="20"/>
      <c r="E245" s="20"/>
    </row>
    <row r="246">
      <c r="D246" s="20"/>
      <c r="E246" s="20"/>
    </row>
    <row r="247">
      <c r="D247" s="20"/>
      <c r="E247" s="20"/>
    </row>
    <row r="248">
      <c r="D248" s="20"/>
      <c r="E248" s="20"/>
    </row>
    <row r="249">
      <c r="D249" s="20"/>
      <c r="E249" s="20"/>
    </row>
    <row r="250">
      <c r="D250" s="20"/>
      <c r="E250" s="20"/>
    </row>
    <row r="251">
      <c r="D251" s="20"/>
      <c r="E251" s="20"/>
    </row>
    <row r="252">
      <c r="D252" s="20"/>
      <c r="E252" s="20"/>
    </row>
    <row r="253">
      <c r="D253" s="20"/>
      <c r="E253" s="20"/>
    </row>
    <row r="254">
      <c r="D254" s="20"/>
      <c r="E254" s="20"/>
    </row>
    <row r="255">
      <c r="D255" s="20"/>
      <c r="E255" s="20"/>
    </row>
    <row r="256">
      <c r="D256" s="20"/>
      <c r="E256" s="20"/>
    </row>
    <row r="257">
      <c r="D257" s="20"/>
      <c r="E257" s="20"/>
    </row>
    <row r="258">
      <c r="D258" s="20"/>
      <c r="E258" s="20"/>
    </row>
    <row r="259">
      <c r="D259" s="20"/>
      <c r="E259" s="20"/>
    </row>
    <row r="260">
      <c r="D260" s="20"/>
      <c r="E260" s="20"/>
    </row>
    <row r="261">
      <c r="D261" s="20"/>
      <c r="E261" s="20"/>
    </row>
    <row r="262">
      <c r="D262" s="20"/>
      <c r="E262" s="20"/>
    </row>
    <row r="263">
      <c r="D263" s="20"/>
      <c r="E263" s="20"/>
    </row>
    <row r="264">
      <c r="D264" s="20"/>
      <c r="E264" s="20"/>
    </row>
    <row r="265">
      <c r="D265" s="20"/>
      <c r="E265" s="20"/>
    </row>
    <row r="266">
      <c r="D266" s="20"/>
      <c r="E266" s="20"/>
    </row>
    <row r="267">
      <c r="D267" s="20"/>
      <c r="E267" s="20"/>
    </row>
    <row r="268">
      <c r="D268" s="20"/>
      <c r="E268" s="20"/>
    </row>
    <row r="269">
      <c r="D269" s="20"/>
      <c r="E269" s="20"/>
    </row>
    <row r="270">
      <c r="D270" s="20"/>
      <c r="E270" s="20"/>
    </row>
    <row r="271">
      <c r="D271" s="20"/>
      <c r="E271" s="20"/>
    </row>
    <row r="272">
      <c r="D272" s="20"/>
      <c r="E272" s="20"/>
    </row>
    <row r="273">
      <c r="D273" s="20"/>
      <c r="E273" s="20"/>
    </row>
    <row r="274">
      <c r="D274" s="20"/>
      <c r="E274" s="20"/>
    </row>
    <row r="275">
      <c r="D275" s="20"/>
      <c r="E275" s="20"/>
    </row>
    <row r="276">
      <c r="D276" s="20"/>
      <c r="E276" s="20"/>
    </row>
    <row r="277">
      <c r="D277" s="20"/>
      <c r="E277" s="20"/>
    </row>
    <row r="278">
      <c r="D278" s="20"/>
      <c r="E278" s="20"/>
    </row>
    <row r="279">
      <c r="D279" s="20"/>
      <c r="E279" s="20"/>
    </row>
    <row r="280">
      <c r="D280" s="20"/>
      <c r="E280" s="20"/>
    </row>
    <row r="281">
      <c r="D281" s="20"/>
      <c r="E281" s="20"/>
    </row>
    <row r="282">
      <c r="D282" s="20"/>
      <c r="E282" s="20"/>
    </row>
    <row r="283">
      <c r="D283" s="20"/>
      <c r="E283" s="20"/>
    </row>
    <row r="284">
      <c r="D284" s="20"/>
      <c r="E284" s="20"/>
    </row>
    <row r="285">
      <c r="D285" s="20"/>
      <c r="E285" s="20"/>
    </row>
    <row r="286">
      <c r="D286" s="20"/>
      <c r="E286" s="20"/>
    </row>
    <row r="287">
      <c r="D287" s="20"/>
      <c r="E287" s="20"/>
    </row>
    <row r="288">
      <c r="D288" s="20"/>
      <c r="E288" s="20"/>
    </row>
    <row r="289">
      <c r="D289" s="20"/>
      <c r="E289" s="20"/>
    </row>
    <row r="290">
      <c r="D290" s="20"/>
      <c r="E290" s="20"/>
    </row>
    <row r="291">
      <c r="D291" s="20"/>
      <c r="E291" s="20"/>
    </row>
    <row r="292">
      <c r="D292" s="20"/>
      <c r="E292" s="20"/>
    </row>
    <row r="293">
      <c r="D293" s="20"/>
      <c r="E293" s="20"/>
    </row>
    <row r="294">
      <c r="D294" s="20"/>
      <c r="E294" s="20"/>
    </row>
    <row r="295">
      <c r="D295" s="20"/>
      <c r="E295" s="20"/>
    </row>
    <row r="296">
      <c r="D296" s="20"/>
      <c r="E296" s="20"/>
    </row>
    <row r="297">
      <c r="D297" s="20"/>
      <c r="E297" s="20"/>
    </row>
    <row r="298">
      <c r="D298" s="20"/>
      <c r="E298" s="20"/>
    </row>
    <row r="299">
      <c r="D299" s="20"/>
      <c r="E299" s="20"/>
    </row>
    <row r="300">
      <c r="D300" s="20"/>
      <c r="E300" s="20"/>
    </row>
    <row r="301">
      <c r="D301" s="20"/>
      <c r="E301" s="20"/>
    </row>
    <row r="302">
      <c r="D302" s="20"/>
      <c r="E302" s="20"/>
    </row>
    <row r="303">
      <c r="D303" s="20"/>
      <c r="E303" s="20"/>
    </row>
    <row r="304">
      <c r="D304" s="20"/>
      <c r="E304" s="20"/>
    </row>
    <row r="305">
      <c r="D305" s="20"/>
      <c r="E305" s="20"/>
    </row>
    <row r="306">
      <c r="D306" s="20"/>
      <c r="E306" s="20"/>
    </row>
    <row r="307">
      <c r="D307" s="20"/>
      <c r="E307" s="20"/>
    </row>
    <row r="308">
      <c r="D308" s="20"/>
      <c r="E308" s="20"/>
    </row>
    <row r="309">
      <c r="D309" s="20"/>
      <c r="E309" s="20"/>
    </row>
    <row r="310">
      <c r="D310" s="20"/>
      <c r="E310" s="20"/>
    </row>
    <row r="311">
      <c r="D311" s="20"/>
      <c r="E311" s="20"/>
    </row>
    <row r="312">
      <c r="D312" s="20"/>
      <c r="E312" s="20"/>
    </row>
    <row r="313">
      <c r="D313" s="20"/>
      <c r="E313" s="20"/>
    </row>
    <row r="314">
      <c r="D314" s="20"/>
      <c r="E314" s="20"/>
    </row>
    <row r="315">
      <c r="D315" s="20"/>
      <c r="E315" s="20"/>
    </row>
    <row r="316">
      <c r="D316" s="20"/>
      <c r="E316" s="20"/>
    </row>
    <row r="317">
      <c r="D317" s="20"/>
      <c r="E317" s="20"/>
    </row>
    <row r="318">
      <c r="D318" s="20"/>
      <c r="E318" s="20"/>
    </row>
    <row r="319">
      <c r="D319" s="20"/>
      <c r="E319" s="20"/>
    </row>
    <row r="320">
      <c r="D320" s="20"/>
      <c r="E320" s="20"/>
    </row>
    <row r="321">
      <c r="D321" s="20"/>
      <c r="E321" s="20"/>
    </row>
    <row r="322">
      <c r="D322" s="20"/>
      <c r="E322" s="20"/>
    </row>
    <row r="323">
      <c r="D323" s="20"/>
      <c r="E323" s="20"/>
    </row>
    <row r="324">
      <c r="D324" s="20"/>
      <c r="E324" s="20"/>
    </row>
    <row r="325">
      <c r="D325" s="20"/>
      <c r="E325" s="20"/>
    </row>
    <row r="326">
      <c r="D326" s="20"/>
      <c r="E326" s="20"/>
    </row>
    <row r="327">
      <c r="D327" s="20"/>
      <c r="E327" s="20"/>
    </row>
    <row r="328">
      <c r="D328" s="20"/>
      <c r="E328" s="20"/>
    </row>
    <row r="329">
      <c r="D329" s="20"/>
      <c r="E329" s="20"/>
    </row>
    <row r="330">
      <c r="D330" s="20"/>
      <c r="E330" s="20"/>
    </row>
    <row r="331">
      <c r="D331" s="20"/>
      <c r="E331" s="20"/>
    </row>
    <row r="332">
      <c r="D332" s="20"/>
      <c r="E332" s="20"/>
    </row>
    <row r="333">
      <c r="D333" s="20"/>
      <c r="E333" s="20"/>
    </row>
    <row r="334">
      <c r="D334" s="20"/>
      <c r="E334" s="20"/>
    </row>
    <row r="335">
      <c r="D335" s="20"/>
      <c r="E335" s="20"/>
    </row>
    <row r="336">
      <c r="D336" s="20"/>
      <c r="E336" s="20"/>
    </row>
    <row r="337">
      <c r="D337" s="20"/>
      <c r="E337" s="20"/>
    </row>
    <row r="338">
      <c r="D338" s="20"/>
      <c r="E338" s="20"/>
    </row>
    <row r="339">
      <c r="D339" s="20"/>
      <c r="E339" s="20"/>
    </row>
    <row r="340">
      <c r="D340" s="20"/>
      <c r="E340" s="20"/>
    </row>
    <row r="341">
      <c r="D341" s="20"/>
      <c r="E341" s="20"/>
    </row>
    <row r="342">
      <c r="D342" s="20"/>
      <c r="E342" s="20"/>
    </row>
    <row r="343">
      <c r="D343" s="20"/>
      <c r="E343" s="20"/>
    </row>
    <row r="344">
      <c r="D344" s="20"/>
      <c r="E344" s="20"/>
    </row>
    <row r="345">
      <c r="D345" s="20"/>
      <c r="E345" s="20"/>
    </row>
    <row r="346">
      <c r="D346" s="20"/>
      <c r="E346" s="20"/>
    </row>
    <row r="347">
      <c r="D347" s="20"/>
      <c r="E347" s="20"/>
    </row>
    <row r="348">
      <c r="D348" s="20"/>
      <c r="E348" s="20"/>
    </row>
    <row r="349">
      <c r="D349" s="20"/>
      <c r="E349" s="20"/>
    </row>
    <row r="350">
      <c r="D350" s="20"/>
      <c r="E350" s="20"/>
    </row>
    <row r="351">
      <c r="D351" s="20"/>
      <c r="E351" s="20"/>
    </row>
    <row r="352">
      <c r="D352" s="20"/>
      <c r="E352" s="20"/>
    </row>
    <row r="353">
      <c r="D353" s="20"/>
      <c r="E353" s="20"/>
    </row>
    <row r="354">
      <c r="D354" s="20"/>
      <c r="E354" s="20"/>
    </row>
    <row r="355">
      <c r="D355" s="20"/>
      <c r="E355" s="20"/>
    </row>
    <row r="356">
      <c r="D356" s="20"/>
      <c r="E356" s="20"/>
    </row>
    <row r="357">
      <c r="D357" s="20"/>
      <c r="E357" s="20"/>
    </row>
    <row r="358">
      <c r="D358" s="20"/>
      <c r="E358" s="20"/>
    </row>
    <row r="359">
      <c r="D359" s="20"/>
      <c r="E359" s="20"/>
    </row>
    <row r="360">
      <c r="D360" s="20"/>
      <c r="E360" s="20"/>
    </row>
    <row r="361">
      <c r="D361" s="20"/>
      <c r="E361" s="20"/>
    </row>
    <row r="362">
      <c r="D362" s="20"/>
      <c r="E362" s="20"/>
    </row>
    <row r="363">
      <c r="D363" s="20"/>
      <c r="E363" s="20"/>
    </row>
    <row r="364">
      <c r="D364" s="20"/>
      <c r="E364" s="20"/>
    </row>
    <row r="365">
      <c r="D365" s="20"/>
      <c r="E365" s="20"/>
    </row>
    <row r="366">
      <c r="D366" s="20"/>
      <c r="E366" s="20"/>
    </row>
    <row r="367">
      <c r="D367" s="20"/>
      <c r="E367" s="20"/>
    </row>
    <row r="368">
      <c r="D368" s="20"/>
      <c r="E368" s="20"/>
    </row>
    <row r="369">
      <c r="D369" s="20"/>
      <c r="E369" s="20"/>
    </row>
    <row r="370">
      <c r="D370" s="20"/>
      <c r="E370" s="20"/>
    </row>
    <row r="371">
      <c r="D371" s="20"/>
      <c r="E371" s="20"/>
    </row>
    <row r="372">
      <c r="D372" s="20"/>
      <c r="E372" s="20"/>
    </row>
    <row r="373">
      <c r="D373" s="20"/>
      <c r="E373" s="20"/>
    </row>
    <row r="374">
      <c r="D374" s="20"/>
      <c r="E374" s="20"/>
    </row>
    <row r="375">
      <c r="D375" s="20"/>
      <c r="E375" s="20"/>
    </row>
    <row r="376">
      <c r="D376" s="20"/>
      <c r="E376" s="20"/>
    </row>
    <row r="377">
      <c r="D377" s="20"/>
      <c r="E377" s="20"/>
    </row>
    <row r="378">
      <c r="D378" s="20"/>
      <c r="E378" s="20"/>
    </row>
    <row r="379">
      <c r="D379" s="20"/>
      <c r="E379" s="20"/>
    </row>
    <row r="380">
      <c r="D380" s="20"/>
      <c r="E380" s="20"/>
    </row>
    <row r="381">
      <c r="D381" s="20"/>
      <c r="E381" s="20"/>
    </row>
    <row r="382">
      <c r="D382" s="20"/>
      <c r="E382" s="20"/>
    </row>
    <row r="383">
      <c r="D383" s="20"/>
      <c r="E383" s="20"/>
    </row>
    <row r="384">
      <c r="D384" s="20"/>
      <c r="E384" s="20"/>
    </row>
    <row r="385">
      <c r="D385" s="20"/>
      <c r="E385" s="20"/>
    </row>
    <row r="386">
      <c r="D386" s="20"/>
      <c r="E386" s="20"/>
    </row>
    <row r="387">
      <c r="D387" s="20"/>
      <c r="E387" s="20"/>
    </row>
    <row r="388">
      <c r="D388" s="20"/>
      <c r="E388" s="20"/>
    </row>
    <row r="389">
      <c r="D389" s="20"/>
      <c r="E389" s="20"/>
    </row>
    <row r="390">
      <c r="D390" s="20"/>
      <c r="E390" s="20"/>
    </row>
    <row r="391">
      <c r="D391" s="20"/>
      <c r="E391" s="20"/>
    </row>
    <row r="392">
      <c r="D392" s="20"/>
      <c r="E392" s="20"/>
    </row>
    <row r="393">
      <c r="D393" s="20"/>
      <c r="E393" s="20"/>
    </row>
    <row r="394">
      <c r="D394" s="20"/>
      <c r="E394" s="20"/>
    </row>
    <row r="395">
      <c r="D395" s="20"/>
      <c r="E395" s="20"/>
    </row>
    <row r="396">
      <c r="D396" s="20"/>
      <c r="E396" s="20"/>
    </row>
    <row r="397">
      <c r="D397" s="20"/>
      <c r="E397" s="20"/>
    </row>
    <row r="398">
      <c r="D398" s="20"/>
      <c r="E398" s="20"/>
    </row>
    <row r="399">
      <c r="D399" s="20"/>
      <c r="E399" s="20"/>
    </row>
    <row r="400">
      <c r="D400" s="20"/>
      <c r="E400" s="20"/>
    </row>
    <row r="401">
      <c r="D401" s="20"/>
      <c r="E401" s="20"/>
    </row>
    <row r="402">
      <c r="D402" s="20"/>
      <c r="E402" s="20"/>
    </row>
    <row r="403">
      <c r="D403" s="20"/>
      <c r="E403" s="20"/>
    </row>
    <row r="404">
      <c r="D404" s="20"/>
      <c r="E404" s="20"/>
    </row>
    <row r="405">
      <c r="D405" s="20"/>
      <c r="E405" s="20"/>
    </row>
    <row r="406">
      <c r="D406" s="20"/>
      <c r="E406" s="20"/>
    </row>
    <row r="407">
      <c r="D407" s="20"/>
      <c r="E407" s="20"/>
    </row>
    <row r="408">
      <c r="D408" s="20"/>
      <c r="E408" s="20"/>
    </row>
    <row r="409">
      <c r="D409" s="20"/>
      <c r="E409" s="20"/>
    </row>
    <row r="410">
      <c r="D410" s="20"/>
      <c r="E410" s="20"/>
    </row>
    <row r="411">
      <c r="D411" s="20"/>
      <c r="E411" s="20"/>
    </row>
    <row r="412">
      <c r="D412" s="20"/>
      <c r="E412" s="20"/>
    </row>
    <row r="413">
      <c r="D413" s="20"/>
      <c r="E413" s="20"/>
    </row>
    <row r="414">
      <c r="D414" s="20"/>
      <c r="E414" s="20"/>
    </row>
    <row r="415">
      <c r="D415" s="20"/>
      <c r="E415" s="20"/>
    </row>
    <row r="416">
      <c r="D416" s="20"/>
      <c r="E416" s="20"/>
    </row>
    <row r="417">
      <c r="D417" s="20"/>
      <c r="E417" s="20"/>
    </row>
    <row r="418">
      <c r="D418" s="20"/>
      <c r="E418" s="20"/>
    </row>
    <row r="419">
      <c r="D419" s="20"/>
      <c r="E419" s="20"/>
    </row>
    <row r="420">
      <c r="D420" s="20"/>
      <c r="E420" s="20"/>
    </row>
    <row r="421">
      <c r="D421" s="20"/>
      <c r="E421" s="20"/>
    </row>
    <row r="422">
      <c r="D422" s="20"/>
      <c r="E422" s="20"/>
    </row>
    <row r="423">
      <c r="D423" s="20"/>
      <c r="E423" s="20"/>
    </row>
    <row r="424">
      <c r="D424" s="20"/>
      <c r="E424" s="20"/>
    </row>
    <row r="425">
      <c r="D425" s="20"/>
      <c r="E425" s="20"/>
    </row>
    <row r="426">
      <c r="D426" s="20"/>
      <c r="E426" s="20"/>
    </row>
    <row r="427">
      <c r="D427" s="20"/>
      <c r="E427" s="20"/>
    </row>
    <row r="428">
      <c r="D428" s="20"/>
      <c r="E428" s="20"/>
    </row>
    <row r="429">
      <c r="D429" s="20"/>
      <c r="E429" s="20"/>
    </row>
    <row r="430">
      <c r="D430" s="20"/>
      <c r="E430" s="20"/>
    </row>
    <row r="431">
      <c r="D431" s="20"/>
      <c r="E431" s="20"/>
    </row>
    <row r="432">
      <c r="D432" s="20"/>
      <c r="E432" s="20"/>
    </row>
    <row r="433">
      <c r="D433" s="20"/>
      <c r="E433" s="20"/>
    </row>
    <row r="434">
      <c r="D434" s="20"/>
      <c r="E434" s="20"/>
    </row>
    <row r="435">
      <c r="D435" s="20"/>
      <c r="E435" s="20"/>
    </row>
    <row r="436">
      <c r="D436" s="20"/>
      <c r="E436" s="20"/>
    </row>
    <row r="437">
      <c r="D437" s="20"/>
      <c r="E437" s="20"/>
    </row>
    <row r="438">
      <c r="D438" s="20"/>
      <c r="E438" s="20"/>
    </row>
    <row r="439">
      <c r="D439" s="20"/>
      <c r="E439" s="20"/>
    </row>
    <row r="440">
      <c r="D440" s="20"/>
      <c r="E440" s="20"/>
    </row>
    <row r="441">
      <c r="D441" s="20"/>
      <c r="E441" s="20"/>
    </row>
    <row r="442">
      <c r="D442" s="20"/>
      <c r="E442" s="20"/>
    </row>
    <row r="443">
      <c r="D443" s="20"/>
      <c r="E443" s="20"/>
    </row>
    <row r="444">
      <c r="D444" s="20"/>
      <c r="E444" s="20"/>
    </row>
    <row r="445">
      <c r="D445" s="20"/>
      <c r="E445" s="20"/>
    </row>
    <row r="446">
      <c r="D446" s="20"/>
      <c r="E446" s="20"/>
    </row>
    <row r="447">
      <c r="D447" s="20"/>
      <c r="E447" s="20"/>
    </row>
    <row r="448">
      <c r="D448" s="20"/>
      <c r="E448" s="20"/>
    </row>
    <row r="449">
      <c r="D449" s="20"/>
      <c r="E449" s="20"/>
    </row>
    <row r="450">
      <c r="D450" s="20"/>
      <c r="E450" s="20"/>
    </row>
    <row r="451">
      <c r="D451" s="20"/>
      <c r="E451" s="20"/>
    </row>
    <row r="452">
      <c r="D452" s="20"/>
      <c r="E452" s="20"/>
    </row>
    <row r="453">
      <c r="D453" s="20"/>
      <c r="E453" s="20"/>
    </row>
    <row r="454">
      <c r="D454" s="20"/>
      <c r="E454" s="20"/>
    </row>
    <row r="455">
      <c r="D455" s="20"/>
      <c r="E455" s="20"/>
    </row>
    <row r="456">
      <c r="D456" s="20"/>
      <c r="E456" s="20"/>
    </row>
    <row r="457">
      <c r="D457" s="20"/>
      <c r="E457" s="20"/>
    </row>
    <row r="458">
      <c r="D458" s="20"/>
      <c r="E458" s="20"/>
    </row>
    <row r="459">
      <c r="D459" s="20"/>
      <c r="E459" s="20"/>
    </row>
    <row r="460">
      <c r="D460" s="20"/>
      <c r="E460" s="20"/>
    </row>
    <row r="461">
      <c r="D461" s="20"/>
      <c r="E461" s="20"/>
    </row>
    <row r="462">
      <c r="D462" s="20"/>
      <c r="E462" s="20"/>
    </row>
    <row r="463">
      <c r="D463" s="20"/>
      <c r="E463" s="20"/>
    </row>
    <row r="464">
      <c r="D464" s="20"/>
      <c r="E464" s="20"/>
    </row>
    <row r="465">
      <c r="D465" s="20"/>
      <c r="E465" s="20"/>
    </row>
    <row r="466">
      <c r="D466" s="20"/>
      <c r="E466" s="20"/>
    </row>
    <row r="467">
      <c r="D467" s="20"/>
      <c r="E467" s="20"/>
    </row>
    <row r="468">
      <c r="D468" s="20"/>
      <c r="E468" s="20"/>
    </row>
    <row r="469">
      <c r="D469" s="20"/>
      <c r="E469" s="20"/>
    </row>
    <row r="470">
      <c r="D470" s="20"/>
      <c r="E470" s="20"/>
    </row>
    <row r="471">
      <c r="D471" s="20"/>
      <c r="E471" s="20"/>
    </row>
    <row r="472">
      <c r="D472" s="20"/>
      <c r="E472" s="20"/>
    </row>
    <row r="473">
      <c r="D473" s="20"/>
      <c r="E473" s="20"/>
    </row>
    <row r="474">
      <c r="D474" s="20"/>
      <c r="E474" s="20"/>
    </row>
    <row r="475">
      <c r="D475" s="20"/>
      <c r="E475" s="20"/>
    </row>
    <row r="476">
      <c r="D476" s="20"/>
      <c r="E476" s="20"/>
    </row>
    <row r="477">
      <c r="D477" s="20"/>
      <c r="E477" s="20"/>
    </row>
    <row r="478">
      <c r="D478" s="20"/>
      <c r="E478" s="20"/>
    </row>
    <row r="479">
      <c r="D479" s="20"/>
      <c r="E479" s="20"/>
    </row>
    <row r="480">
      <c r="D480" s="20"/>
      <c r="E480" s="20"/>
    </row>
    <row r="481">
      <c r="D481" s="20"/>
      <c r="E481" s="20"/>
    </row>
    <row r="482">
      <c r="D482" s="20"/>
      <c r="E482" s="20"/>
    </row>
    <row r="483">
      <c r="D483" s="20"/>
      <c r="E483" s="20"/>
    </row>
    <row r="484">
      <c r="D484" s="20"/>
      <c r="E484" s="20"/>
    </row>
    <row r="485">
      <c r="D485" s="20"/>
      <c r="E485" s="20"/>
    </row>
    <row r="486">
      <c r="D486" s="20"/>
      <c r="E486" s="20"/>
    </row>
    <row r="487">
      <c r="D487" s="20"/>
      <c r="E487" s="20"/>
    </row>
    <row r="488">
      <c r="D488" s="20"/>
      <c r="E488" s="20"/>
    </row>
    <row r="489">
      <c r="D489" s="20"/>
      <c r="E489" s="20"/>
    </row>
    <row r="490">
      <c r="D490" s="20"/>
      <c r="E490" s="20"/>
    </row>
    <row r="491">
      <c r="D491" s="20"/>
      <c r="E491" s="20"/>
    </row>
    <row r="492">
      <c r="D492" s="20"/>
      <c r="E492" s="20"/>
    </row>
    <row r="493">
      <c r="D493" s="20"/>
      <c r="E493" s="20"/>
    </row>
    <row r="494">
      <c r="D494" s="20"/>
      <c r="E494" s="20"/>
    </row>
    <row r="495">
      <c r="D495" s="20"/>
      <c r="E495" s="20"/>
    </row>
    <row r="496">
      <c r="D496" s="20"/>
      <c r="E496" s="20"/>
    </row>
    <row r="497">
      <c r="D497" s="20"/>
      <c r="E497" s="20"/>
    </row>
    <row r="498">
      <c r="D498" s="20"/>
      <c r="E498" s="20"/>
    </row>
    <row r="499">
      <c r="D499" s="20"/>
      <c r="E499" s="20"/>
    </row>
    <row r="500">
      <c r="D500" s="20"/>
      <c r="E500" s="20"/>
    </row>
    <row r="501">
      <c r="D501" s="20"/>
      <c r="E501" s="20"/>
    </row>
    <row r="502">
      <c r="D502" s="20"/>
      <c r="E502" s="20"/>
    </row>
    <row r="503">
      <c r="D503" s="20"/>
      <c r="E503" s="20"/>
    </row>
    <row r="504">
      <c r="D504" s="20"/>
      <c r="E504" s="20"/>
    </row>
    <row r="505">
      <c r="D505" s="20"/>
      <c r="E505" s="20"/>
    </row>
    <row r="506">
      <c r="D506" s="20"/>
      <c r="E506" s="20"/>
    </row>
    <row r="507">
      <c r="D507" s="20"/>
      <c r="E507" s="20"/>
    </row>
    <row r="508">
      <c r="D508" s="20"/>
      <c r="E508" s="20"/>
    </row>
    <row r="509">
      <c r="D509" s="20"/>
      <c r="E509" s="20"/>
    </row>
    <row r="510">
      <c r="D510" s="20"/>
      <c r="E510" s="20"/>
    </row>
    <row r="511">
      <c r="D511" s="20"/>
      <c r="E511" s="20"/>
    </row>
    <row r="512">
      <c r="D512" s="20"/>
      <c r="E512" s="20"/>
    </row>
    <row r="513">
      <c r="D513" s="20"/>
      <c r="E513" s="20"/>
    </row>
    <row r="514">
      <c r="D514" s="20"/>
      <c r="E514" s="20"/>
    </row>
    <row r="515">
      <c r="D515" s="20"/>
      <c r="E515" s="20"/>
    </row>
    <row r="516">
      <c r="D516" s="20"/>
      <c r="E516" s="20"/>
    </row>
    <row r="517">
      <c r="D517" s="20"/>
      <c r="E517" s="20"/>
    </row>
    <row r="518">
      <c r="D518" s="20"/>
      <c r="E518" s="20"/>
    </row>
    <row r="519">
      <c r="D519" s="20"/>
      <c r="E519" s="20"/>
    </row>
    <row r="520">
      <c r="D520" s="20"/>
      <c r="E520" s="20"/>
    </row>
    <row r="521">
      <c r="D521" s="20"/>
      <c r="E521" s="20"/>
    </row>
    <row r="522">
      <c r="D522" s="20"/>
      <c r="E522" s="20"/>
    </row>
    <row r="523">
      <c r="D523" s="20"/>
      <c r="E523" s="20"/>
    </row>
    <row r="524">
      <c r="D524" s="20"/>
      <c r="E524" s="20"/>
    </row>
    <row r="525">
      <c r="D525" s="20"/>
      <c r="E525" s="20"/>
    </row>
    <row r="526">
      <c r="D526" s="20"/>
      <c r="E526" s="20"/>
    </row>
    <row r="527">
      <c r="D527" s="20"/>
      <c r="E527" s="20"/>
    </row>
    <row r="528">
      <c r="D528" s="20"/>
      <c r="E528" s="20"/>
    </row>
    <row r="529">
      <c r="D529" s="20"/>
      <c r="E529" s="20"/>
    </row>
    <row r="530">
      <c r="D530" s="20"/>
      <c r="E530" s="20"/>
    </row>
    <row r="531">
      <c r="D531" s="20"/>
      <c r="E531" s="20"/>
    </row>
    <row r="532">
      <c r="D532" s="20"/>
      <c r="E532" s="20"/>
    </row>
    <row r="533">
      <c r="D533" s="20"/>
      <c r="E533" s="20"/>
    </row>
    <row r="534">
      <c r="D534" s="20"/>
      <c r="E534" s="20"/>
    </row>
    <row r="535">
      <c r="D535" s="20"/>
      <c r="E535" s="20"/>
    </row>
    <row r="536">
      <c r="D536" s="20"/>
      <c r="E536" s="20"/>
    </row>
    <row r="537">
      <c r="D537" s="20"/>
      <c r="E537" s="20"/>
    </row>
    <row r="538">
      <c r="D538" s="20"/>
      <c r="E538" s="20"/>
    </row>
    <row r="539">
      <c r="D539" s="20"/>
      <c r="E539" s="20"/>
    </row>
    <row r="540">
      <c r="D540" s="20"/>
      <c r="E540" s="20"/>
    </row>
    <row r="541">
      <c r="D541" s="20"/>
      <c r="E541" s="20"/>
    </row>
    <row r="542">
      <c r="D542" s="20"/>
      <c r="E542" s="20"/>
    </row>
    <row r="543">
      <c r="D543" s="20"/>
      <c r="E543" s="20"/>
    </row>
    <row r="544">
      <c r="D544" s="20"/>
      <c r="E544" s="20"/>
    </row>
    <row r="545">
      <c r="D545" s="20"/>
      <c r="E545" s="20"/>
    </row>
    <row r="546">
      <c r="D546" s="20"/>
      <c r="E546" s="20"/>
    </row>
    <row r="547">
      <c r="D547" s="20"/>
      <c r="E547" s="20"/>
    </row>
    <row r="548">
      <c r="D548" s="20"/>
      <c r="E548" s="20"/>
    </row>
    <row r="549">
      <c r="D549" s="20"/>
      <c r="E549" s="20"/>
    </row>
    <row r="550">
      <c r="D550" s="20"/>
      <c r="E550" s="20"/>
    </row>
    <row r="551">
      <c r="D551" s="20"/>
      <c r="E551" s="20"/>
    </row>
    <row r="552">
      <c r="D552" s="20"/>
      <c r="E552" s="20"/>
    </row>
    <row r="553">
      <c r="D553" s="20"/>
      <c r="E553" s="20"/>
    </row>
    <row r="554">
      <c r="D554" s="20"/>
      <c r="E554" s="20"/>
    </row>
    <row r="555">
      <c r="D555" s="20"/>
      <c r="E555" s="20"/>
    </row>
    <row r="556">
      <c r="D556" s="20"/>
      <c r="E556" s="20"/>
    </row>
    <row r="557">
      <c r="D557" s="20"/>
      <c r="E557" s="20"/>
    </row>
    <row r="558">
      <c r="D558" s="20"/>
      <c r="E558" s="20"/>
    </row>
    <row r="559">
      <c r="D559" s="20"/>
      <c r="E559" s="20"/>
    </row>
    <row r="560">
      <c r="D560" s="20"/>
      <c r="E560" s="20"/>
    </row>
    <row r="561">
      <c r="D561" s="20"/>
      <c r="E561" s="20"/>
    </row>
    <row r="562">
      <c r="D562" s="20"/>
      <c r="E562" s="20"/>
    </row>
    <row r="563">
      <c r="D563" s="20"/>
      <c r="E563" s="20"/>
    </row>
    <row r="564">
      <c r="D564" s="20"/>
      <c r="E564" s="20"/>
    </row>
    <row r="565">
      <c r="D565" s="20"/>
      <c r="E565" s="20"/>
    </row>
    <row r="566">
      <c r="D566" s="20"/>
      <c r="E566" s="20"/>
    </row>
    <row r="567">
      <c r="D567" s="20"/>
      <c r="E567" s="20"/>
    </row>
    <row r="568">
      <c r="D568" s="20"/>
      <c r="E568" s="20"/>
    </row>
    <row r="569">
      <c r="D569" s="20"/>
      <c r="E569" s="20"/>
    </row>
    <row r="570">
      <c r="D570" s="20"/>
      <c r="E570" s="20"/>
    </row>
    <row r="571">
      <c r="D571" s="20"/>
      <c r="E571" s="20"/>
    </row>
    <row r="572">
      <c r="D572" s="20"/>
      <c r="E572" s="20"/>
    </row>
    <row r="573">
      <c r="D573" s="20"/>
      <c r="E573" s="20"/>
    </row>
    <row r="574">
      <c r="D574" s="20"/>
      <c r="E574" s="20"/>
    </row>
    <row r="575">
      <c r="D575" s="20"/>
      <c r="E575" s="20"/>
    </row>
    <row r="576">
      <c r="D576" s="20"/>
      <c r="E576" s="20"/>
    </row>
    <row r="577">
      <c r="D577" s="20"/>
      <c r="E577" s="20"/>
    </row>
    <row r="578">
      <c r="D578" s="20"/>
      <c r="E578" s="20"/>
    </row>
    <row r="579">
      <c r="D579" s="20"/>
      <c r="E579" s="20"/>
    </row>
    <row r="580">
      <c r="D580" s="20"/>
      <c r="E580" s="20"/>
    </row>
    <row r="581">
      <c r="D581" s="20"/>
      <c r="E581" s="20"/>
    </row>
    <row r="582">
      <c r="D582" s="20"/>
      <c r="E582" s="20"/>
    </row>
    <row r="583">
      <c r="D583" s="20"/>
      <c r="E583" s="20"/>
    </row>
    <row r="584">
      <c r="D584" s="20"/>
      <c r="E584" s="20"/>
    </row>
    <row r="585">
      <c r="D585" s="20"/>
      <c r="E585" s="20"/>
    </row>
    <row r="586">
      <c r="D586" s="20"/>
      <c r="E586" s="20"/>
    </row>
    <row r="587">
      <c r="D587" s="20"/>
      <c r="E587" s="20"/>
    </row>
    <row r="588">
      <c r="D588" s="20"/>
      <c r="E588" s="20"/>
    </row>
    <row r="589">
      <c r="D589" s="20"/>
      <c r="E589" s="20"/>
    </row>
    <row r="590">
      <c r="D590" s="20"/>
      <c r="E590" s="20"/>
    </row>
    <row r="591">
      <c r="D591" s="20"/>
      <c r="E591" s="20"/>
    </row>
    <row r="592">
      <c r="D592" s="20"/>
      <c r="E592" s="20"/>
    </row>
    <row r="593">
      <c r="D593" s="20"/>
      <c r="E593" s="20"/>
    </row>
    <row r="594">
      <c r="D594" s="20"/>
      <c r="E594" s="20"/>
    </row>
    <row r="595">
      <c r="D595" s="20"/>
      <c r="E595" s="20"/>
    </row>
    <row r="596">
      <c r="D596" s="20"/>
      <c r="E596" s="20"/>
    </row>
    <row r="597">
      <c r="D597" s="20"/>
      <c r="E597" s="20"/>
    </row>
    <row r="598">
      <c r="D598" s="20"/>
      <c r="E598" s="20"/>
    </row>
    <row r="599">
      <c r="D599" s="20"/>
      <c r="E599" s="20"/>
    </row>
    <row r="600">
      <c r="D600" s="20"/>
      <c r="E600" s="20"/>
    </row>
    <row r="601">
      <c r="D601" s="20"/>
      <c r="E601" s="20"/>
    </row>
    <row r="602">
      <c r="D602" s="20"/>
      <c r="E602" s="20"/>
    </row>
    <row r="603">
      <c r="D603" s="20"/>
      <c r="E603" s="20"/>
    </row>
    <row r="604">
      <c r="D604" s="20"/>
      <c r="E604" s="20"/>
    </row>
    <row r="605">
      <c r="D605" s="20"/>
      <c r="E605" s="20"/>
    </row>
    <row r="606">
      <c r="D606" s="20"/>
      <c r="E606" s="20"/>
    </row>
    <row r="607">
      <c r="D607" s="20"/>
      <c r="E607" s="20"/>
    </row>
    <row r="608">
      <c r="D608" s="20"/>
      <c r="E608" s="20"/>
    </row>
    <row r="609">
      <c r="D609" s="20"/>
      <c r="E609" s="20"/>
    </row>
    <row r="610">
      <c r="D610" s="20"/>
      <c r="E610" s="20"/>
    </row>
    <row r="611">
      <c r="D611" s="20"/>
      <c r="E611" s="20"/>
    </row>
    <row r="612">
      <c r="D612" s="20"/>
      <c r="E612" s="20"/>
    </row>
    <row r="613">
      <c r="D613" s="20"/>
      <c r="E613" s="20"/>
    </row>
    <row r="614">
      <c r="D614" s="20"/>
      <c r="E614" s="20"/>
    </row>
    <row r="615">
      <c r="D615" s="20"/>
      <c r="E615" s="20"/>
    </row>
    <row r="616">
      <c r="D616" s="20"/>
      <c r="E616" s="20"/>
    </row>
    <row r="617">
      <c r="D617" s="20"/>
      <c r="E617" s="20"/>
    </row>
    <row r="618">
      <c r="D618" s="20"/>
      <c r="E618" s="20"/>
    </row>
    <row r="619">
      <c r="D619" s="20"/>
      <c r="E619" s="20"/>
    </row>
    <row r="620">
      <c r="D620" s="20"/>
      <c r="E620" s="20"/>
    </row>
    <row r="621">
      <c r="D621" s="20"/>
      <c r="E621" s="20"/>
    </row>
    <row r="622">
      <c r="D622" s="20"/>
      <c r="E622" s="20"/>
    </row>
    <row r="623">
      <c r="D623" s="20"/>
      <c r="E623" s="20"/>
    </row>
    <row r="624">
      <c r="D624" s="20"/>
      <c r="E624" s="20"/>
    </row>
    <row r="625">
      <c r="D625" s="20"/>
      <c r="E625" s="20"/>
    </row>
    <row r="626">
      <c r="D626" s="20"/>
      <c r="E626" s="20"/>
    </row>
    <row r="627">
      <c r="D627" s="20"/>
      <c r="E627" s="20"/>
    </row>
    <row r="628">
      <c r="D628" s="20"/>
      <c r="E628" s="20"/>
    </row>
    <row r="629">
      <c r="D629" s="20"/>
      <c r="E629" s="20"/>
    </row>
    <row r="630">
      <c r="D630" s="20"/>
      <c r="E630" s="20"/>
    </row>
    <row r="631">
      <c r="D631" s="20"/>
      <c r="E631" s="20"/>
    </row>
    <row r="632">
      <c r="D632" s="20"/>
      <c r="E632" s="20"/>
    </row>
    <row r="633">
      <c r="D633" s="20"/>
      <c r="E633" s="20"/>
    </row>
    <row r="634">
      <c r="D634" s="20"/>
      <c r="E634" s="20"/>
    </row>
    <row r="635">
      <c r="D635" s="20"/>
      <c r="E635" s="20"/>
    </row>
    <row r="636">
      <c r="D636" s="20"/>
      <c r="E636" s="20"/>
    </row>
    <row r="637">
      <c r="D637" s="20"/>
      <c r="E637" s="20"/>
    </row>
    <row r="638">
      <c r="D638" s="20"/>
      <c r="E638" s="20"/>
    </row>
    <row r="639">
      <c r="D639" s="20"/>
      <c r="E639" s="20"/>
    </row>
    <row r="640">
      <c r="D640" s="20"/>
      <c r="E640" s="20"/>
    </row>
    <row r="641">
      <c r="D641" s="20"/>
      <c r="E641" s="20"/>
    </row>
    <row r="642">
      <c r="D642" s="20"/>
      <c r="E642" s="20"/>
    </row>
    <row r="643">
      <c r="D643" s="20"/>
      <c r="E643" s="20"/>
    </row>
    <row r="644">
      <c r="D644" s="20"/>
      <c r="E644" s="20"/>
    </row>
    <row r="645">
      <c r="D645" s="20"/>
      <c r="E645" s="20"/>
    </row>
    <row r="646">
      <c r="D646" s="20"/>
      <c r="E646" s="20"/>
    </row>
    <row r="647">
      <c r="D647" s="20"/>
      <c r="E647" s="20"/>
    </row>
    <row r="648">
      <c r="D648" s="20"/>
      <c r="E648" s="20"/>
    </row>
    <row r="649">
      <c r="D649" s="20"/>
      <c r="E649" s="20"/>
    </row>
    <row r="650">
      <c r="D650" s="20"/>
      <c r="E650" s="20"/>
    </row>
    <row r="651">
      <c r="D651" s="20"/>
      <c r="E651" s="20"/>
    </row>
    <row r="652">
      <c r="D652" s="20"/>
      <c r="E652" s="20"/>
    </row>
    <row r="653">
      <c r="D653" s="20"/>
      <c r="E653" s="20"/>
    </row>
    <row r="654">
      <c r="D654" s="20"/>
      <c r="E654" s="20"/>
    </row>
    <row r="655">
      <c r="D655" s="20"/>
      <c r="E655" s="20"/>
    </row>
    <row r="656">
      <c r="D656" s="20"/>
      <c r="E656" s="20"/>
    </row>
    <row r="657">
      <c r="D657" s="20"/>
      <c r="E657" s="20"/>
    </row>
    <row r="658">
      <c r="D658" s="20"/>
      <c r="E658" s="20"/>
    </row>
    <row r="659">
      <c r="D659" s="20"/>
      <c r="E659" s="20"/>
    </row>
    <row r="660">
      <c r="D660" s="20"/>
      <c r="E660" s="20"/>
    </row>
    <row r="661">
      <c r="D661" s="20"/>
      <c r="E661" s="20"/>
    </row>
    <row r="662">
      <c r="D662" s="20"/>
      <c r="E662" s="20"/>
    </row>
    <row r="663">
      <c r="D663" s="20"/>
      <c r="E663" s="20"/>
    </row>
    <row r="664">
      <c r="D664" s="20"/>
      <c r="E664" s="20"/>
    </row>
    <row r="665">
      <c r="D665" s="20"/>
      <c r="E665" s="20"/>
    </row>
    <row r="666">
      <c r="D666" s="20"/>
      <c r="E666" s="20"/>
    </row>
    <row r="667">
      <c r="D667" s="20"/>
      <c r="E667" s="20"/>
    </row>
    <row r="668">
      <c r="D668" s="20"/>
      <c r="E668" s="20"/>
    </row>
    <row r="669">
      <c r="D669" s="20"/>
      <c r="E669" s="20"/>
    </row>
    <row r="670">
      <c r="D670" s="20"/>
      <c r="E670" s="20"/>
    </row>
    <row r="671">
      <c r="D671" s="20"/>
      <c r="E671" s="20"/>
    </row>
    <row r="672">
      <c r="D672" s="20"/>
      <c r="E672" s="20"/>
    </row>
    <row r="673">
      <c r="D673" s="20"/>
      <c r="E673" s="20"/>
    </row>
    <row r="674">
      <c r="D674" s="20"/>
      <c r="E674" s="20"/>
    </row>
    <row r="675">
      <c r="D675" s="20"/>
      <c r="E675" s="20"/>
    </row>
    <row r="676">
      <c r="D676" s="20"/>
      <c r="E676" s="20"/>
    </row>
    <row r="677">
      <c r="D677" s="20"/>
      <c r="E677" s="20"/>
    </row>
    <row r="678">
      <c r="D678" s="20"/>
      <c r="E678" s="20"/>
    </row>
    <row r="679">
      <c r="D679" s="20"/>
      <c r="E679" s="20"/>
    </row>
    <row r="680">
      <c r="D680" s="20"/>
      <c r="E680" s="20"/>
    </row>
    <row r="681">
      <c r="D681" s="20"/>
      <c r="E681" s="20"/>
    </row>
    <row r="682">
      <c r="D682" s="20"/>
      <c r="E682" s="20"/>
    </row>
    <row r="683">
      <c r="D683" s="20"/>
      <c r="E683" s="20"/>
    </row>
    <row r="684">
      <c r="D684" s="20"/>
      <c r="E684" s="20"/>
    </row>
    <row r="685">
      <c r="D685" s="20"/>
      <c r="E685" s="20"/>
    </row>
    <row r="686">
      <c r="D686" s="20"/>
      <c r="E686" s="20"/>
    </row>
    <row r="687">
      <c r="D687" s="20"/>
      <c r="E687" s="20"/>
    </row>
    <row r="688">
      <c r="D688" s="20"/>
      <c r="E688" s="20"/>
    </row>
    <row r="689">
      <c r="D689" s="20"/>
      <c r="E689" s="20"/>
    </row>
    <row r="690">
      <c r="D690" s="20"/>
      <c r="E690" s="20"/>
    </row>
    <row r="691">
      <c r="D691" s="20"/>
      <c r="E691" s="20"/>
    </row>
    <row r="692">
      <c r="D692" s="20"/>
      <c r="E692" s="20"/>
    </row>
    <row r="693">
      <c r="D693" s="20"/>
      <c r="E693" s="20"/>
    </row>
    <row r="694">
      <c r="D694" s="20"/>
      <c r="E694" s="20"/>
    </row>
    <row r="695">
      <c r="D695" s="20"/>
      <c r="E695" s="20"/>
    </row>
    <row r="696">
      <c r="D696" s="20"/>
      <c r="E696" s="20"/>
    </row>
    <row r="697">
      <c r="D697" s="20"/>
      <c r="E697" s="20"/>
    </row>
    <row r="698">
      <c r="D698" s="20"/>
      <c r="E698" s="20"/>
    </row>
    <row r="699">
      <c r="D699" s="20"/>
      <c r="E699" s="20"/>
    </row>
    <row r="700">
      <c r="D700" s="20"/>
      <c r="E700" s="20"/>
    </row>
    <row r="701">
      <c r="D701" s="20"/>
      <c r="E701" s="20"/>
    </row>
    <row r="702">
      <c r="D702" s="20"/>
      <c r="E702" s="20"/>
    </row>
    <row r="703">
      <c r="D703" s="20"/>
      <c r="E703" s="20"/>
    </row>
    <row r="704">
      <c r="D704" s="20"/>
      <c r="E704" s="20"/>
    </row>
    <row r="705">
      <c r="D705" s="20"/>
      <c r="E705" s="20"/>
    </row>
    <row r="706">
      <c r="D706" s="20"/>
      <c r="E706" s="20"/>
    </row>
    <row r="707">
      <c r="D707" s="20"/>
      <c r="E707" s="20"/>
    </row>
    <row r="708">
      <c r="D708" s="20"/>
      <c r="E708" s="20"/>
    </row>
    <row r="709">
      <c r="D709" s="20"/>
      <c r="E709" s="20"/>
    </row>
    <row r="710">
      <c r="D710" s="20"/>
      <c r="E710" s="20"/>
    </row>
    <row r="711">
      <c r="D711" s="20"/>
      <c r="E711" s="20"/>
    </row>
    <row r="712">
      <c r="D712" s="20"/>
      <c r="E712" s="20"/>
    </row>
    <row r="713">
      <c r="D713" s="20"/>
      <c r="E713" s="20"/>
    </row>
    <row r="714">
      <c r="D714" s="20"/>
      <c r="E714" s="20"/>
    </row>
    <row r="715">
      <c r="D715" s="20"/>
      <c r="E715" s="20"/>
    </row>
    <row r="716">
      <c r="D716" s="20"/>
      <c r="E716" s="20"/>
    </row>
    <row r="717">
      <c r="D717" s="20"/>
      <c r="E717" s="20"/>
    </row>
    <row r="718">
      <c r="D718" s="20"/>
      <c r="E718" s="20"/>
    </row>
    <row r="719">
      <c r="D719" s="20"/>
      <c r="E719" s="20"/>
    </row>
    <row r="720">
      <c r="D720" s="20"/>
      <c r="E720" s="20"/>
    </row>
    <row r="721">
      <c r="D721" s="20"/>
      <c r="E721" s="20"/>
    </row>
    <row r="722">
      <c r="D722" s="20"/>
      <c r="E722" s="20"/>
    </row>
    <row r="723">
      <c r="D723" s="20"/>
      <c r="E723" s="20"/>
    </row>
    <row r="724">
      <c r="D724" s="20"/>
      <c r="E724" s="20"/>
    </row>
    <row r="725">
      <c r="D725" s="20"/>
      <c r="E725" s="20"/>
    </row>
    <row r="726">
      <c r="D726" s="20"/>
      <c r="E726" s="20"/>
    </row>
    <row r="727">
      <c r="D727" s="20"/>
      <c r="E727" s="20"/>
    </row>
    <row r="728">
      <c r="D728" s="20"/>
      <c r="E728" s="20"/>
    </row>
    <row r="729">
      <c r="D729" s="20"/>
      <c r="E729" s="20"/>
    </row>
    <row r="730">
      <c r="D730" s="20"/>
      <c r="E730" s="20"/>
    </row>
    <row r="731">
      <c r="D731" s="20"/>
      <c r="E731" s="20"/>
    </row>
    <row r="732">
      <c r="D732" s="20"/>
      <c r="E732" s="20"/>
    </row>
    <row r="733">
      <c r="D733" s="20"/>
      <c r="E733" s="20"/>
    </row>
    <row r="734">
      <c r="D734" s="20"/>
      <c r="E734" s="20"/>
    </row>
    <row r="735">
      <c r="D735" s="20"/>
      <c r="E735" s="20"/>
    </row>
    <row r="736">
      <c r="D736" s="20"/>
      <c r="E736" s="20"/>
    </row>
    <row r="737">
      <c r="D737" s="20"/>
      <c r="E737" s="20"/>
    </row>
    <row r="738">
      <c r="D738" s="20"/>
      <c r="E738" s="20"/>
    </row>
    <row r="739">
      <c r="D739" s="20"/>
      <c r="E739" s="20"/>
    </row>
    <row r="740">
      <c r="D740" s="20"/>
      <c r="E740" s="20"/>
    </row>
    <row r="741">
      <c r="D741" s="20"/>
      <c r="E741" s="20"/>
    </row>
    <row r="742">
      <c r="D742" s="20"/>
      <c r="E742" s="20"/>
    </row>
    <row r="743">
      <c r="D743" s="20"/>
      <c r="E743" s="20"/>
    </row>
    <row r="744">
      <c r="D744" s="20"/>
      <c r="E744" s="20"/>
    </row>
    <row r="745">
      <c r="D745" s="20"/>
      <c r="E745" s="20"/>
    </row>
    <row r="746">
      <c r="D746" s="20"/>
      <c r="E746" s="20"/>
    </row>
    <row r="747">
      <c r="D747" s="20"/>
      <c r="E747" s="20"/>
    </row>
    <row r="748">
      <c r="D748" s="20"/>
      <c r="E748" s="20"/>
    </row>
    <row r="749">
      <c r="D749" s="20"/>
      <c r="E749" s="20"/>
    </row>
    <row r="750">
      <c r="D750" s="20"/>
      <c r="E750" s="20"/>
    </row>
    <row r="751">
      <c r="D751" s="20"/>
      <c r="E751" s="20"/>
    </row>
    <row r="752">
      <c r="D752" s="20"/>
      <c r="E752" s="20"/>
    </row>
    <row r="753">
      <c r="D753" s="20"/>
      <c r="E753" s="20"/>
    </row>
    <row r="754">
      <c r="D754" s="20"/>
      <c r="E754" s="20"/>
    </row>
    <row r="755">
      <c r="D755" s="20"/>
      <c r="E755" s="20"/>
    </row>
    <row r="756">
      <c r="D756" s="20"/>
      <c r="E756" s="20"/>
    </row>
    <row r="757">
      <c r="D757" s="20"/>
      <c r="E757" s="20"/>
    </row>
    <row r="758">
      <c r="D758" s="20"/>
      <c r="E758" s="20"/>
    </row>
    <row r="759">
      <c r="D759" s="20"/>
      <c r="E759" s="20"/>
    </row>
    <row r="760">
      <c r="D760" s="20"/>
      <c r="E760" s="20"/>
    </row>
    <row r="761">
      <c r="D761" s="20"/>
      <c r="E761" s="20"/>
    </row>
    <row r="762">
      <c r="D762" s="20"/>
      <c r="E762" s="20"/>
    </row>
    <row r="763">
      <c r="D763" s="20"/>
      <c r="E763" s="20"/>
    </row>
    <row r="764">
      <c r="D764" s="20"/>
      <c r="E764" s="20"/>
    </row>
    <row r="765">
      <c r="D765" s="20"/>
      <c r="E765" s="20"/>
    </row>
    <row r="766">
      <c r="D766" s="20"/>
      <c r="E766" s="20"/>
    </row>
    <row r="767">
      <c r="D767" s="20"/>
      <c r="E767" s="20"/>
    </row>
    <row r="768">
      <c r="D768" s="20"/>
      <c r="E768" s="20"/>
    </row>
    <row r="769">
      <c r="D769" s="20"/>
      <c r="E769" s="20"/>
    </row>
    <row r="770">
      <c r="D770" s="20"/>
      <c r="E770" s="20"/>
    </row>
    <row r="771">
      <c r="D771" s="20"/>
      <c r="E771" s="20"/>
    </row>
    <row r="772">
      <c r="D772" s="20"/>
      <c r="E772" s="20"/>
    </row>
    <row r="773">
      <c r="D773" s="20"/>
      <c r="E773" s="20"/>
    </row>
    <row r="774">
      <c r="D774" s="20"/>
      <c r="E774" s="20"/>
    </row>
    <row r="775">
      <c r="D775" s="20"/>
      <c r="E775" s="20"/>
    </row>
    <row r="776">
      <c r="D776" s="20"/>
      <c r="E776" s="20"/>
    </row>
    <row r="777">
      <c r="D777" s="20"/>
      <c r="E777" s="20"/>
    </row>
    <row r="778">
      <c r="D778" s="20"/>
      <c r="E778" s="20"/>
    </row>
    <row r="779">
      <c r="D779" s="20"/>
      <c r="E779" s="20"/>
    </row>
    <row r="780">
      <c r="D780" s="20"/>
      <c r="E780" s="20"/>
    </row>
    <row r="781">
      <c r="D781" s="20"/>
      <c r="E781" s="20"/>
    </row>
    <row r="782">
      <c r="D782" s="20"/>
      <c r="E782" s="20"/>
    </row>
    <row r="783">
      <c r="D783" s="20"/>
      <c r="E783" s="20"/>
    </row>
    <row r="784">
      <c r="D784" s="20"/>
      <c r="E784" s="20"/>
    </row>
    <row r="785">
      <c r="D785" s="20"/>
      <c r="E785" s="20"/>
    </row>
    <row r="786">
      <c r="D786" s="20"/>
      <c r="E786" s="20"/>
    </row>
    <row r="787">
      <c r="D787" s="20"/>
      <c r="E787" s="20"/>
    </row>
    <row r="788">
      <c r="D788" s="20"/>
      <c r="E788" s="20"/>
    </row>
    <row r="789">
      <c r="D789" s="20"/>
      <c r="E789" s="20"/>
    </row>
    <row r="790">
      <c r="D790" s="20"/>
      <c r="E790" s="20"/>
    </row>
    <row r="791">
      <c r="D791" s="20"/>
      <c r="E791" s="20"/>
    </row>
    <row r="792">
      <c r="D792" s="20"/>
      <c r="E792" s="20"/>
    </row>
    <row r="793">
      <c r="D793" s="20"/>
      <c r="E793" s="20"/>
    </row>
    <row r="794">
      <c r="D794" s="20"/>
      <c r="E794" s="20"/>
    </row>
    <row r="795">
      <c r="D795" s="20"/>
      <c r="E795" s="20"/>
    </row>
    <row r="796">
      <c r="D796" s="20"/>
      <c r="E796" s="20"/>
    </row>
    <row r="797">
      <c r="D797" s="20"/>
      <c r="E797" s="20"/>
    </row>
    <row r="798">
      <c r="D798" s="20"/>
      <c r="E798" s="20"/>
    </row>
    <row r="799">
      <c r="D799" s="20"/>
      <c r="E799" s="20"/>
    </row>
    <row r="800">
      <c r="D800" s="20"/>
      <c r="E800" s="20"/>
    </row>
    <row r="801">
      <c r="D801" s="20"/>
      <c r="E801" s="20"/>
    </row>
    <row r="802">
      <c r="D802" s="20"/>
      <c r="E802" s="20"/>
    </row>
    <row r="803">
      <c r="D803" s="20"/>
      <c r="E803" s="20"/>
    </row>
    <row r="804">
      <c r="D804" s="20"/>
      <c r="E804" s="20"/>
    </row>
    <row r="805">
      <c r="D805" s="20"/>
      <c r="E805" s="20"/>
    </row>
    <row r="806">
      <c r="D806" s="20"/>
      <c r="E806" s="20"/>
    </row>
    <row r="807">
      <c r="D807" s="20"/>
      <c r="E807" s="20"/>
    </row>
    <row r="808">
      <c r="D808" s="20"/>
      <c r="E808" s="20"/>
    </row>
    <row r="809">
      <c r="D809" s="20"/>
      <c r="E809" s="20"/>
    </row>
    <row r="810">
      <c r="D810" s="20"/>
      <c r="E810" s="20"/>
    </row>
    <row r="811">
      <c r="D811" s="20"/>
      <c r="E811" s="20"/>
    </row>
    <row r="812">
      <c r="D812" s="20"/>
      <c r="E812" s="20"/>
    </row>
    <row r="813">
      <c r="D813" s="20"/>
      <c r="E813" s="20"/>
    </row>
    <row r="814">
      <c r="D814" s="20"/>
      <c r="E814" s="20"/>
    </row>
    <row r="815">
      <c r="D815" s="20"/>
      <c r="E815" s="20"/>
    </row>
    <row r="816">
      <c r="D816" s="20"/>
      <c r="E816" s="20"/>
    </row>
    <row r="817">
      <c r="D817" s="20"/>
      <c r="E817" s="20"/>
    </row>
    <row r="818">
      <c r="D818" s="20"/>
      <c r="E818" s="20"/>
    </row>
    <row r="819">
      <c r="D819" s="20"/>
      <c r="E819" s="20"/>
    </row>
    <row r="820">
      <c r="D820" s="20"/>
      <c r="E820" s="20"/>
    </row>
    <row r="821">
      <c r="D821" s="20"/>
      <c r="E821" s="20"/>
    </row>
    <row r="822">
      <c r="D822" s="20"/>
      <c r="E822" s="20"/>
    </row>
    <row r="823">
      <c r="D823" s="20"/>
      <c r="E823" s="20"/>
    </row>
    <row r="824">
      <c r="D824" s="20"/>
      <c r="E824" s="20"/>
    </row>
    <row r="825">
      <c r="D825" s="20"/>
      <c r="E825" s="20"/>
    </row>
    <row r="826">
      <c r="D826" s="20"/>
      <c r="E826" s="20"/>
    </row>
    <row r="827">
      <c r="D827" s="20"/>
      <c r="E827" s="20"/>
    </row>
    <row r="828">
      <c r="D828" s="20"/>
      <c r="E828" s="20"/>
    </row>
    <row r="829">
      <c r="D829" s="20"/>
      <c r="E829" s="20"/>
    </row>
    <row r="830">
      <c r="D830" s="20"/>
      <c r="E830" s="20"/>
    </row>
    <row r="831">
      <c r="D831" s="20"/>
      <c r="E831" s="20"/>
    </row>
    <row r="832">
      <c r="D832" s="20"/>
      <c r="E832" s="20"/>
    </row>
    <row r="833">
      <c r="D833" s="20"/>
      <c r="E833" s="20"/>
    </row>
    <row r="834">
      <c r="D834" s="20"/>
      <c r="E834" s="20"/>
    </row>
    <row r="835">
      <c r="D835" s="20"/>
      <c r="E835" s="20"/>
    </row>
    <row r="836">
      <c r="D836" s="20"/>
      <c r="E836" s="20"/>
    </row>
    <row r="837">
      <c r="D837" s="20"/>
      <c r="E837" s="20"/>
    </row>
    <row r="838">
      <c r="D838" s="20"/>
      <c r="E838" s="20"/>
    </row>
    <row r="839">
      <c r="D839" s="20"/>
      <c r="E839" s="20"/>
    </row>
    <row r="840">
      <c r="D840" s="20"/>
      <c r="E840" s="20"/>
    </row>
    <row r="841">
      <c r="D841" s="20"/>
      <c r="E841" s="20"/>
    </row>
    <row r="842">
      <c r="D842" s="20"/>
      <c r="E842" s="20"/>
    </row>
    <row r="843">
      <c r="D843" s="20"/>
      <c r="E843" s="20"/>
    </row>
    <row r="844">
      <c r="D844" s="20"/>
      <c r="E844" s="20"/>
    </row>
    <row r="845">
      <c r="D845" s="20"/>
      <c r="E845" s="20"/>
    </row>
    <row r="846">
      <c r="D846" s="20"/>
      <c r="E846" s="20"/>
    </row>
    <row r="847">
      <c r="D847" s="20"/>
      <c r="E847" s="20"/>
    </row>
    <row r="848">
      <c r="D848" s="20"/>
      <c r="E848" s="20"/>
    </row>
    <row r="849">
      <c r="D849" s="20"/>
      <c r="E849" s="20"/>
    </row>
    <row r="850">
      <c r="D850" s="20"/>
      <c r="E850" s="20"/>
    </row>
    <row r="851">
      <c r="D851" s="20"/>
      <c r="E851" s="20"/>
    </row>
    <row r="852">
      <c r="D852" s="20"/>
      <c r="E852" s="20"/>
    </row>
    <row r="853">
      <c r="D853" s="20"/>
      <c r="E853" s="20"/>
    </row>
    <row r="854">
      <c r="D854" s="20"/>
      <c r="E854" s="20"/>
    </row>
    <row r="855">
      <c r="D855" s="20"/>
      <c r="E855" s="20"/>
    </row>
    <row r="856">
      <c r="D856" s="20"/>
      <c r="E856" s="20"/>
    </row>
    <row r="857">
      <c r="D857" s="20"/>
      <c r="E857" s="20"/>
    </row>
    <row r="858">
      <c r="D858" s="20"/>
      <c r="E858" s="20"/>
    </row>
    <row r="859">
      <c r="D859" s="20"/>
      <c r="E859" s="20"/>
    </row>
    <row r="860">
      <c r="D860" s="20"/>
      <c r="E860" s="20"/>
    </row>
    <row r="861">
      <c r="D861" s="20"/>
      <c r="E861" s="20"/>
    </row>
    <row r="862">
      <c r="D862" s="20"/>
      <c r="E862" s="20"/>
    </row>
    <row r="863">
      <c r="D863" s="20"/>
      <c r="E863" s="20"/>
    </row>
    <row r="864">
      <c r="D864" s="20"/>
      <c r="E864" s="20"/>
    </row>
    <row r="865">
      <c r="D865" s="20"/>
      <c r="E865" s="20"/>
    </row>
    <row r="866">
      <c r="D866" s="20"/>
      <c r="E866" s="20"/>
    </row>
    <row r="867">
      <c r="D867" s="20"/>
      <c r="E867" s="20"/>
    </row>
    <row r="868">
      <c r="D868" s="20"/>
      <c r="E868" s="20"/>
    </row>
    <row r="869">
      <c r="D869" s="20"/>
      <c r="E869" s="20"/>
    </row>
    <row r="870">
      <c r="D870" s="20"/>
      <c r="E870" s="20"/>
    </row>
    <row r="871">
      <c r="D871" s="20"/>
      <c r="E871" s="20"/>
    </row>
    <row r="872">
      <c r="D872" s="20"/>
      <c r="E872" s="20"/>
    </row>
    <row r="873">
      <c r="D873" s="20"/>
      <c r="E873" s="20"/>
    </row>
    <row r="874">
      <c r="D874" s="20"/>
      <c r="E874" s="20"/>
    </row>
    <row r="875">
      <c r="D875" s="20"/>
      <c r="E875" s="20"/>
    </row>
    <row r="876">
      <c r="D876" s="20"/>
      <c r="E876" s="20"/>
    </row>
    <row r="877">
      <c r="D877" s="20"/>
      <c r="E877" s="20"/>
    </row>
    <row r="878">
      <c r="D878" s="20"/>
      <c r="E878" s="20"/>
    </row>
    <row r="879">
      <c r="D879" s="20"/>
      <c r="E879" s="20"/>
    </row>
    <row r="880">
      <c r="D880" s="20"/>
      <c r="E880" s="20"/>
    </row>
    <row r="881">
      <c r="D881" s="20"/>
      <c r="E881" s="20"/>
    </row>
    <row r="882">
      <c r="D882" s="20"/>
      <c r="E882" s="20"/>
    </row>
    <row r="883">
      <c r="D883" s="20"/>
      <c r="E883" s="20"/>
    </row>
    <row r="884">
      <c r="D884" s="20"/>
      <c r="E884" s="20"/>
    </row>
    <row r="885">
      <c r="D885" s="20"/>
      <c r="E885" s="20"/>
    </row>
    <row r="886">
      <c r="D886" s="20"/>
      <c r="E886" s="20"/>
    </row>
    <row r="887">
      <c r="D887" s="20"/>
      <c r="E887" s="20"/>
    </row>
    <row r="888">
      <c r="D888" s="20"/>
      <c r="E888" s="20"/>
    </row>
    <row r="889">
      <c r="D889" s="20"/>
      <c r="E889" s="20"/>
    </row>
    <row r="890">
      <c r="D890" s="20"/>
      <c r="E890" s="20"/>
    </row>
    <row r="891">
      <c r="D891" s="20"/>
      <c r="E891" s="20"/>
    </row>
    <row r="892">
      <c r="D892" s="20"/>
      <c r="E892" s="20"/>
    </row>
    <row r="893">
      <c r="D893" s="20"/>
      <c r="E893" s="20"/>
    </row>
    <row r="894">
      <c r="D894" s="20"/>
      <c r="E894" s="20"/>
    </row>
    <row r="895">
      <c r="D895" s="20"/>
      <c r="E895" s="20"/>
    </row>
    <row r="896">
      <c r="D896" s="20"/>
      <c r="E896" s="20"/>
    </row>
    <row r="897">
      <c r="D897" s="20"/>
      <c r="E897" s="20"/>
    </row>
    <row r="898">
      <c r="D898" s="20"/>
      <c r="E898" s="20"/>
    </row>
    <row r="899">
      <c r="D899" s="20"/>
      <c r="E899" s="20"/>
    </row>
    <row r="900">
      <c r="D900" s="20"/>
      <c r="E900" s="20"/>
    </row>
    <row r="901">
      <c r="D901" s="20"/>
      <c r="E901" s="20"/>
    </row>
    <row r="902">
      <c r="D902" s="20"/>
      <c r="E902" s="20"/>
    </row>
    <row r="903">
      <c r="D903" s="20"/>
      <c r="E903" s="20"/>
    </row>
    <row r="904">
      <c r="D904" s="20"/>
      <c r="E904" s="20"/>
    </row>
    <row r="905">
      <c r="D905" s="20"/>
      <c r="E905" s="20"/>
    </row>
    <row r="906">
      <c r="D906" s="20"/>
      <c r="E906" s="20"/>
    </row>
    <row r="907">
      <c r="D907" s="20"/>
      <c r="E907" s="20"/>
    </row>
    <row r="908">
      <c r="D908" s="20"/>
      <c r="E908" s="20"/>
    </row>
    <row r="909">
      <c r="D909" s="20"/>
      <c r="E909" s="20"/>
    </row>
    <row r="910">
      <c r="D910" s="20"/>
      <c r="E910" s="20"/>
    </row>
    <row r="911">
      <c r="D911" s="20"/>
      <c r="E911" s="20"/>
    </row>
    <row r="912">
      <c r="D912" s="20"/>
      <c r="E912" s="20"/>
    </row>
    <row r="913">
      <c r="D913" s="20"/>
      <c r="E913" s="20"/>
    </row>
    <row r="914">
      <c r="D914" s="20"/>
      <c r="E914" s="20"/>
    </row>
    <row r="915">
      <c r="D915" s="20"/>
      <c r="E915" s="20"/>
    </row>
    <row r="916">
      <c r="D916" s="20"/>
      <c r="E916" s="20"/>
    </row>
    <row r="917">
      <c r="D917" s="20"/>
      <c r="E917" s="20"/>
    </row>
    <row r="918">
      <c r="D918" s="20"/>
      <c r="E918" s="20"/>
    </row>
    <row r="919">
      <c r="D919" s="20"/>
      <c r="E919" s="20"/>
    </row>
    <row r="920">
      <c r="D920" s="20"/>
      <c r="E920" s="20"/>
    </row>
    <row r="921">
      <c r="D921" s="20"/>
      <c r="E921" s="20"/>
    </row>
    <row r="922">
      <c r="D922" s="20"/>
      <c r="E922" s="20"/>
    </row>
    <row r="923">
      <c r="D923" s="20"/>
      <c r="E923" s="20"/>
    </row>
    <row r="924">
      <c r="D924" s="20"/>
      <c r="E924" s="20"/>
    </row>
    <row r="925">
      <c r="D925" s="20"/>
      <c r="E925" s="20"/>
    </row>
    <row r="926">
      <c r="D926" s="20"/>
      <c r="E926" s="20"/>
    </row>
    <row r="927">
      <c r="D927" s="20"/>
      <c r="E927" s="20"/>
    </row>
    <row r="928">
      <c r="D928" s="20"/>
      <c r="E928" s="20"/>
    </row>
    <row r="929">
      <c r="D929" s="20"/>
      <c r="E929" s="20"/>
    </row>
    <row r="930">
      <c r="D930" s="20"/>
      <c r="E930" s="20"/>
    </row>
    <row r="931">
      <c r="D931" s="20"/>
      <c r="E931" s="20"/>
    </row>
    <row r="932">
      <c r="D932" s="20"/>
      <c r="E932" s="20"/>
    </row>
    <row r="933">
      <c r="D933" s="20"/>
      <c r="E933" s="20"/>
    </row>
    <row r="934">
      <c r="D934" s="20"/>
      <c r="E934" s="20"/>
    </row>
    <row r="935">
      <c r="D935" s="20"/>
      <c r="E935" s="20"/>
    </row>
    <row r="936">
      <c r="D936" s="20"/>
      <c r="E936" s="20"/>
    </row>
    <row r="937">
      <c r="D937" s="20"/>
      <c r="E937" s="20"/>
    </row>
    <row r="938">
      <c r="D938" s="20"/>
      <c r="E938" s="20"/>
    </row>
    <row r="939">
      <c r="D939" s="20"/>
      <c r="E939" s="20"/>
    </row>
    <row r="940">
      <c r="D940" s="20"/>
      <c r="E940" s="20"/>
    </row>
    <row r="941">
      <c r="D941" s="20"/>
      <c r="E941" s="20"/>
    </row>
    <row r="942">
      <c r="D942" s="20"/>
      <c r="E942" s="20"/>
    </row>
    <row r="943">
      <c r="D943" s="20"/>
      <c r="E943" s="20"/>
    </row>
    <row r="944">
      <c r="D944" s="20"/>
      <c r="E944" s="20"/>
    </row>
    <row r="945">
      <c r="D945" s="20"/>
      <c r="E945" s="20"/>
    </row>
    <row r="946">
      <c r="D946" s="20"/>
      <c r="E946" s="20"/>
    </row>
    <row r="947">
      <c r="D947" s="20"/>
      <c r="E947" s="20"/>
    </row>
    <row r="948">
      <c r="D948" s="20"/>
      <c r="E948" s="20"/>
    </row>
    <row r="949">
      <c r="D949" s="20"/>
      <c r="E949" s="20"/>
    </row>
    <row r="950">
      <c r="D950" s="20"/>
      <c r="E950" s="20"/>
    </row>
    <row r="951">
      <c r="D951" s="20"/>
      <c r="E951" s="20"/>
    </row>
    <row r="952">
      <c r="D952" s="20"/>
      <c r="E952" s="20"/>
    </row>
    <row r="953">
      <c r="D953" s="20"/>
      <c r="E953" s="20"/>
    </row>
    <row r="954">
      <c r="D954" s="20"/>
      <c r="E954" s="20"/>
    </row>
    <row r="955">
      <c r="D955" s="20"/>
      <c r="E955" s="20"/>
    </row>
    <row r="956">
      <c r="D956" s="20"/>
      <c r="E956" s="20"/>
    </row>
    <row r="957">
      <c r="D957" s="20"/>
      <c r="E957" s="20"/>
    </row>
    <row r="958">
      <c r="D958" s="20"/>
      <c r="E958" s="20"/>
    </row>
    <row r="959">
      <c r="D959" s="20"/>
      <c r="E959" s="20"/>
    </row>
    <row r="960">
      <c r="D960" s="20"/>
      <c r="E960" s="20"/>
    </row>
    <row r="961">
      <c r="D961" s="20"/>
      <c r="E961" s="20"/>
    </row>
    <row r="962">
      <c r="D962" s="20"/>
      <c r="E962" s="20"/>
    </row>
    <row r="963">
      <c r="D963" s="20"/>
      <c r="E963" s="20"/>
    </row>
    <row r="964">
      <c r="D964" s="20"/>
      <c r="E964" s="20"/>
    </row>
    <row r="965">
      <c r="D965" s="20"/>
      <c r="E965" s="20"/>
    </row>
    <row r="966">
      <c r="D966" s="20"/>
      <c r="E966" s="20"/>
    </row>
    <row r="967">
      <c r="D967" s="20"/>
      <c r="E967" s="20"/>
    </row>
    <row r="968">
      <c r="D968" s="20"/>
      <c r="E968" s="20"/>
    </row>
    <row r="969">
      <c r="D969" s="20"/>
      <c r="E969" s="20"/>
    </row>
    <row r="970">
      <c r="D970" s="20"/>
      <c r="E970" s="20"/>
    </row>
    <row r="971">
      <c r="D971" s="20"/>
      <c r="E971" s="20"/>
    </row>
    <row r="972">
      <c r="D972" s="20"/>
      <c r="E972" s="20"/>
    </row>
    <row r="973">
      <c r="D973" s="20"/>
      <c r="E973" s="20"/>
    </row>
    <row r="974">
      <c r="D974" s="20"/>
      <c r="E974" s="20"/>
    </row>
    <row r="975">
      <c r="D975" s="20"/>
      <c r="E975" s="20"/>
    </row>
    <row r="976">
      <c r="D976" s="20"/>
      <c r="E976" s="20"/>
    </row>
    <row r="977">
      <c r="D977" s="20"/>
      <c r="E977" s="20"/>
    </row>
    <row r="978">
      <c r="D978" s="20"/>
      <c r="E978" s="20"/>
    </row>
    <row r="979">
      <c r="D979" s="20"/>
      <c r="E979" s="20"/>
    </row>
    <row r="980">
      <c r="D980" s="20"/>
      <c r="E980" s="20"/>
    </row>
    <row r="981">
      <c r="D981" s="20"/>
      <c r="E981" s="20"/>
    </row>
    <row r="982">
      <c r="D982" s="20"/>
      <c r="E982" s="20"/>
    </row>
    <row r="983">
      <c r="D983" s="20"/>
      <c r="E983" s="20"/>
    </row>
    <row r="984">
      <c r="D984" s="20"/>
      <c r="E984" s="20"/>
    </row>
    <row r="985">
      <c r="D985" s="20"/>
      <c r="E985" s="20"/>
    </row>
    <row r="986">
      <c r="D986" s="20"/>
      <c r="E986" s="20"/>
    </row>
  </sheetData>
  <mergeCells count="5">
    <mergeCell ref="F1:J1"/>
    <mergeCell ref="R1:W1"/>
    <mergeCell ref="X1:AA1"/>
    <mergeCell ref="AR1:AS1"/>
    <mergeCell ref="AT1:AX1"/>
  </mergeCells>
  <dataValidations>
    <dataValidation type="list" allowBlank="1" showErrorMessage="1" sqref="X3:X32">
      <formula1>"Russian,Ukrainian,English,Other,Unsure"</formula1>
    </dataValidation>
    <dataValidation type="list" allowBlank="1" showErrorMessage="1" sqref="AK3:AK32">
      <formula1>"Food,Water,Medicine,Gun"</formula1>
    </dataValidation>
    <dataValidation type="list" allowBlank="1" showErrorMessage="1" sqref="G3:G32">
      <formula1>"Discrediting,Emotion,Polarization,Impersonation,Conspiracy,Trolling,Power projection"</formula1>
    </dataValidation>
    <dataValidation type="list" allowBlank="1" showErrorMessage="1" sqref="AN3:AN32">
      <formula1>"Battle field/area (tanks, etc),Inside a building ,Destroyed building/structure,Train station,Sky,Outside - city (including skyline),None of these/other"</formula1>
    </dataValidation>
    <dataValidation type="list" allowBlank="1" showErrorMessage="1" sqref="AE3:AE32">
      <formula1>"Text and image aligned,Text and image unaligned,Text reframes/challenges image,Image reframes/challenges text,The text is spammy,The image is spammy,Other thing"</formula1>
    </dataValidation>
    <dataValidation type="list" allowBlank="1" showErrorMessage="1" sqref="V3:V32">
      <formula1>"Printed Paperwork,Printed Notice,Hand Drawing"</formula1>
    </dataValidation>
    <dataValidation type="list" allowBlank="1" showErrorMessage="1" sqref="Z3:Z32">
      <formula1>"Ukrainian Gvt,Russian Gvt,Law enforceement,People's republics,Aid orgs/NGOs,Press/media company,Influencer/individual logo,Other logo"</formula1>
    </dataValidation>
    <dataValidation type="list" allowBlank="1" showErrorMessage="1" sqref="AR3:AR32">
      <formula1>"Donate,Call a number,Go to a place for support/resources,Perform a state sanctioned action,Share/forward the image ,Go to an event ,Other mobilization behavior "</formula1>
    </dataValidation>
    <dataValidation type="list" allowBlank="1" showErrorMessage="1" sqref="AB3:AB32">
      <formula1>"Text and image aligned,Text and image unaligned,Text reframes/challenges image,Image reframes/challenges text,The text is spammy,The image is spammy,Other thing,No text in image"</formula1>
    </dataValidation>
    <dataValidation type="list" allowBlank="1" showErrorMessage="1" sqref="AM3:AM32">
      <formula1>"Ukrainian,Russian,Other"</formula1>
    </dataValidation>
    <dataValidation type="list" allowBlank="1" showErrorMessage="1" sqref="AL3:AL32">
      <formula1>"Drone,Cloud trail,Plane,Missile,Rocket,Other"</formula1>
    </dataValidation>
    <dataValidation type="list" allowBlank="1" showErrorMessage="1" sqref="AT3:AT32">
      <formula1>"Ukraine,Russia,DNR,LNR,Local/regional,Other/unknown"</formula1>
    </dataValidation>
    <dataValidation type="list" allowBlank="1" showErrorMessage="1" sqref="L4:L11 L13:L26 L28:L32">
      <formula1>"Humor,Russian infrastructure/normalization,English language ,Ukrainian colors in public places,Russian colors in public places,Destruction of monuments/key buildings,Happy children,Pro-Ukrainian support from another nation (or animal),Other thing ,Victimi"&amp;"zation,Historical association,Destruction in general"</formula1>
    </dataValidation>
    <dataValidation type="list" allowBlank="1" showErrorMessage="1" sqref="T3:T32">
      <formula1>"Ukraine ,Russia,Multiple countries,Multiple maps,Military map,Air raid map,Other map"</formula1>
    </dataValidation>
    <dataValidation type="list" allowBlank="1" showErrorMessage="1" sqref="AI3:AI32">
      <formula1>"Cat,Dog,Other"</formula1>
    </dataValidation>
    <dataValidation type="list" allowBlank="1" showErrorMessage="1" sqref="I3:I32">
      <formula1>"Implicit,Explicit,No stance,Unsure"</formula1>
    </dataValidation>
    <dataValidation type="list" allowBlank="1" showErrorMessage="1" sqref="K3:K32">
      <formula1>"Lots of context - hard to reframee,A little bit of context - harder to reframe if you know,No context - easy to reframe in a post"</formula1>
    </dataValidation>
    <dataValidation type="list" allowBlank="1" showErrorMessage="1" sqref="AV3:AV32">
      <formula1>"Russian,Ukrainian,Other"</formula1>
    </dataValidation>
    <dataValidation type="list" allowBlank="1" showErrorMessage="1" sqref="M3:O32">
      <formula1>"Russian in group (by Russians for Russians),Ukrainian in group (by Ukrainians, for Ukrainians),Russian out group (by Ukrainians or others, outgrouping Russians),Ukrainian out group (by Russians or others, outgrouping Ukrainians),None,Unsure"</formula1>
    </dataValidation>
    <dataValidation type="list" allowBlank="1" showErrorMessage="1" sqref="AF3:AF32">
      <formula1>"Clarifying the image,Describing the image,Challenging the image,Stressing/emphasizing the image,Reacting to the image,Other interesting thing,Contextualizing the Image"</formula1>
    </dataValidation>
    <dataValidation type="list" allowBlank="1" showErrorMessage="1" sqref="AD3 AD12 AD27">
      <formula1>"Name/Handle,Stock imagery,Other watermark,Russian"</formula1>
    </dataValidation>
    <dataValidation type="list" allowBlank="1" showErrorMessage="1" sqref="H3:H32">
      <formula1>"Pro-Russia,Pro-Ukrainian,No stance,Unsure"</formula1>
    </dataValidation>
    <dataValidation type="list" allowBlank="1" showErrorMessage="1" sqref="AU3:AU32">
      <formula1>"Ukrainian,Russian,EU,USA,Local/regional,DNR,LNR,Other/unknown"</formula1>
    </dataValidation>
    <dataValidation type="list" allowBlank="1" showErrorMessage="1" sqref="AO3:AO32">
      <formula1>"Active conflict,Result of conflict "</formula1>
    </dataValidation>
    <dataValidation type="list" allowBlank="1" showErrorMessage="1" sqref="U3:U32">
      <formula1>"Computer,Phone,TV,Unknown/unclear,Military footage screen ,Other,Unknown"</formula1>
    </dataValidation>
    <dataValidation type="list" allowBlank="1" showErrorMessage="1" sqref="AQ3:AQ32">
      <formula1>"Public speech,Press conference,newscast,Politician with miltiary,Gvt meeting/forum,Miltiary posing for photo,Arrest,Protest"</formula1>
    </dataValidation>
    <dataValidation type="list" allowBlank="1" showErrorMessage="1" sqref="AG3:AG32">
      <formula1>"Russian Military,Ukrainian Military,Soviet Military Figure"</formula1>
    </dataValidation>
    <dataValidation type="list" allowBlank="1" showErrorMessage="1" sqref="AH3:AH32">
      <formula1>"Zelensky,Putin,Biden,Turmp,Poroshenko,Xi Jinping,Other"</formula1>
    </dataValidation>
    <dataValidation type="list" allowBlank="1" showErrorMessage="1" sqref="P3:P32">
      <formula1>"Yes - hostility to Russian outgroup,Yes - hostility to Ukrainian outgroup,Yes - hostility to another outgroup,None,Unsure"</formula1>
    </dataValidation>
    <dataValidation type="list" allowBlank="1" showErrorMessage="1" sqref="J3:J32">
      <formula1>"Text and image aligned,Text reframes image,Image reframes text,None,Unsure"</formula1>
    </dataValidation>
    <dataValidation type="list" allowBlank="1" showErrorMessage="1" sqref="AJ3:AJ32">
      <formula1>"Military,Tank,Police,Firetruck,Civilian,Emergency,Other"</formula1>
    </dataValidation>
    <dataValidation type="list" allowBlank="1" showErrorMessage="1" sqref="R3:R32">
      <formula1>"Meme,Data visualization,Infographic,Digital flyers,""cover image"" - image for text,Map,Picture of a screen,Picture of paper,Screenshot,News article,Photograph,Illustration - realistic,Illustration - cartoon/comic,AI-genreated image,Collage of multiple im"&amp;"ages,Other"</formula1>
    </dataValidation>
    <dataValidation type="list" allowBlank="1" showErrorMessage="1" sqref="L3 L12 L27">
      <formula1>"Humor,Russian infrastructure/normalization,English language ,Ukrainian colors in public places,Russian colors in public places,Destruction of monuments/key buildings,Happy children/women,Prisoners of war,Pro-Ukrainian support from another nation (or anima"&amp;"l),Other thing ,Women/Children Participation,Elderly Participation"</formula1>
    </dataValidation>
    <dataValidation type="list" allowBlank="1" showErrorMessage="1" sqref="AC3:AC32">
      <formula1>"Mixed,Russian,Ukrainian,English,Other"</formula1>
    </dataValidation>
    <dataValidation type="list" allowBlank="1" showErrorMessage="1" sqref="AS3:AS32">
      <formula1>"Psychological resource (ie crisis line),Motivational quote,Aid resource,Prayer,Other affective thing"</formula1>
    </dataValidation>
    <dataValidation type="list" allowBlank="1" showErrorMessage="1" sqref="AP3:AP32">
      <formula1>"Medical relief,Food relief/passout,Aid workers helping - general"</formula1>
    </dataValidation>
    <dataValidation type="list" allowBlank="1" showErrorMessage="1" sqref="Y3:Y32">
      <formula1>"Emojis added to cover faces,FAKE or other debunking text/image warning,Textual annotations (text added over an image),Graphical annotations (shapes, arrows to draw attention),Faces blurred,Blood/injuries blurred,Other blurring,Appears to have been cropped"&amp;",Other editting,likely AI generated"</formula1>
    </dataValidation>
    <dataValidation type="list" allowBlank="1" showErrorMessage="1" sqref="AW3:AW32">
      <formula1>"Ribbon of Saint George,USSR signs - hammer, stars, etc ,V, Z - war symbols,Rubles,Maps of Ukraine without Crimea and the occupied territories,Famous Russain culture figure,Balalaika,Russian bear ,Other "</formula1>
    </dataValidation>
    <dataValidation type="list" allowBlank="1" showErrorMessage="1" sqref="F3:F32">
      <formula1>"Lifestyle content - outfits, cooking, etc,Misc meme,Misc landscape (building, nature) image,Misc motivation post,Advertisement,Sports,Slop/Spam,Construction,Porn/sexual imagery"</formula1>
    </dataValidation>
    <dataValidation type="list" allowBlank="1" showErrorMessage="1" sqref="AD4:AD11 AD13:AD26 AA3:AA32 AD28:AD32">
      <formula1>"Name/Handle,Stock imagery,Other watermark,Ukranian,Russian"</formula1>
    </dataValidation>
    <dataValidation type="list" allowBlank="1" showErrorMessage="1" sqref="Q3:Q32">
      <formula1>"Yes - Solidarity to Ukrainian in group,Yes - Solidarity to Russian ingroup,Yes - Solidarity to a different in group,No,Unsure"</formula1>
    </dataValidation>
    <dataValidation type="list" allowBlank="1" showErrorMessage="1" sqref="AX3:AY32">
      <formula1>"Trident,letter ""i"",Variations of Russian warship,Sunflower,Sunflower seeds,Borscht,Vyshyvanka,Watermelons,Wheat,Varenyky,Other"</formula1>
    </dataValidation>
    <dataValidation type="list" allowBlank="1" showErrorMessage="1" sqref="S3:S32">
      <formula1>"Bar chart,Line chart,Scatter plot,Circle/donut/pie chart,Other chart type"</formula1>
    </dataValidation>
    <dataValidation type="list" allowBlank="1" showErrorMessage="1" sqref="W3:W32">
      <formula1>"Search engine result,LLM Output,News website,Government website,Social media - FB ,Social media - X,Social media - TikTok,Socila media - YT ,Social media - Whatsapp ,Social media - Telegram,Social media - Other/Unknown"</formula1>
    </dataValidation>
  </dataValidation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25"/>
    <col customWidth="1" min="5" max="5" width="34.13"/>
  </cols>
  <sheetData>
    <row r="1">
      <c r="A1" s="1"/>
      <c r="B1" s="1"/>
      <c r="C1" s="1"/>
      <c r="D1" s="2"/>
      <c r="E1" s="2"/>
      <c r="F1" s="3" t="s">
        <v>0</v>
      </c>
      <c r="K1" s="4"/>
      <c r="L1" s="4"/>
      <c r="M1" s="4"/>
      <c r="N1" s="4"/>
      <c r="O1" s="4"/>
      <c r="P1" s="4"/>
      <c r="Q1" s="4"/>
      <c r="R1" s="5" t="s">
        <v>1</v>
      </c>
      <c r="X1" s="6" t="s">
        <v>2</v>
      </c>
      <c r="AB1" s="6" t="s">
        <v>3</v>
      </c>
      <c r="AC1" s="7"/>
      <c r="AD1" s="7"/>
      <c r="AE1" s="7"/>
      <c r="AF1" s="7"/>
      <c r="AG1" s="8"/>
      <c r="AH1" s="8"/>
      <c r="AI1" s="8"/>
      <c r="AJ1" s="8"/>
      <c r="AK1" s="8"/>
      <c r="AL1" s="8"/>
      <c r="AM1" s="8"/>
      <c r="AN1" s="9" t="s">
        <v>4</v>
      </c>
      <c r="AO1" s="5" t="s">
        <v>5</v>
      </c>
      <c r="AP1" s="10"/>
      <c r="AQ1" s="10"/>
      <c r="AR1" s="6" t="s">
        <v>6</v>
      </c>
      <c r="AT1" s="11" t="s">
        <v>7</v>
      </c>
      <c r="AY1" s="8"/>
      <c r="AZ1" s="12" t="s">
        <v>8</v>
      </c>
      <c r="BA1" s="12" t="s">
        <v>9</v>
      </c>
    </row>
    <row r="2">
      <c r="A2" s="13" t="s">
        <v>10</v>
      </c>
      <c r="B2" s="13" t="s">
        <v>11</v>
      </c>
      <c r="C2" s="13" t="s">
        <v>12</v>
      </c>
      <c r="D2" s="14" t="s">
        <v>13</v>
      </c>
      <c r="E2" s="14" t="s">
        <v>14</v>
      </c>
      <c r="F2" s="3" t="s">
        <v>15</v>
      </c>
      <c r="G2" s="3" t="s">
        <v>16</v>
      </c>
      <c r="H2" s="3" t="s">
        <v>17</v>
      </c>
      <c r="I2" s="3" t="s">
        <v>18</v>
      </c>
      <c r="J2" s="3" t="s">
        <v>19</v>
      </c>
      <c r="K2" s="3" t="s">
        <v>20</v>
      </c>
      <c r="L2" s="3" t="s">
        <v>21</v>
      </c>
      <c r="M2" s="3" t="s">
        <v>22</v>
      </c>
      <c r="N2" s="3" t="s">
        <v>23</v>
      </c>
      <c r="O2" s="3" t="s">
        <v>24</v>
      </c>
      <c r="P2" s="3" t="s">
        <v>25</v>
      </c>
      <c r="Q2" s="3" t="s">
        <v>26</v>
      </c>
      <c r="R2" s="5" t="s">
        <v>27</v>
      </c>
      <c r="S2" s="5" t="s">
        <v>28</v>
      </c>
      <c r="T2" s="5" t="s">
        <v>29</v>
      </c>
      <c r="U2" s="5" t="s">
        <v>30</v>
      </c>
      <c r="V2" s="5" t="s">
        <v>31</v>
      </c>
      <c r="W2" s="5" t="s">
        <v>32</v>
      </c>
      <c r="X2" s="6" t="s">
        <v>33</v>
      </c>
      <c r="Y2" s="6" t="s">
        <v>34</v>
      </c>
      <c r="Z2" s="6" t="s">
        <v>35</v>
      </c>
      <c r="AA2" s="6" t="s">
        <v>36</v>
      </c>
      <c r="AB2" s="6" t="s">
        <v>303</v>
      </c>
      <c r="AC2" s="6" t="s">
        <v>38</v>
      </c>
      <c r="AD2" s="6" t="s">
        <v>39</v>
      </c>
      <c r="AE2" s="6" t="s">
        <v>40</v>
      </c>
      <c r="AF2" s="6" t="s">
        <v>41</v>
      </c>
      <c r="AG2" s="11" t="s">
        <v>42</v>
      </c>
      <c r="AH2" s="11" t="s">
        <v>43</v>
      </c>
      <c r="AI2" s="11" t="s">
        <v>44</v>
      </c>
      <c r="AJ2" s="11" t="s">
        <v>45</v>
      </c>
      <c r="AK2" s="11" t="s">
        <v>46</v>
      </c>
      <c r="AL2" s="11" t="s">
        <v>47</v>
      </c>
      <c r="AM2" s="11" t="s">
        <v>48</v>
      </c>
      <c r="AN2" s="9" t="s">
        <v>49</v>
      </c>
      <c r="AO2" s="5" t="s">
        <v>50</v>
      </c>
      <c r="AP2" s="5" t="s">
        <v>51</v>
      </c>
      <c r="AQ2" s="5" t="s">
        <v>52</v>
      </c>
      <c r="AR2" s="6" t="s">
        <v>53</v>
      </c>
      <c r="AS2" s="6" t="s">
        <v>54</v>
      </c>
      <c r="AT2" s="11" t="s">
        <v>55</v>
      </c>
      <c r="AU2" s="11" t="s">
        <v>56</v>
      </c>
      <c r="AV2" s="11" t="s">
        <v>57</v>
      </c>
      <c r="AW2" s="11" t="s">
        <v>58</v>
      </c>
      <c r="AX2" s="11" t="s">
        <v>59</v>
      </c>
      <c r="AY2" s="8"/>
      <c r="AZ2" s="15"/>
      <c r="BA2" s="15"/>
    </row>
    <row r="3">
      <c r="A3" s="1" t="s">
        <v>60</v>
      </c>
      <c r="B3" s="16" t="s">
        <v>61</v>
      </c>
      <c r="C3" s="17" t="str">
        <f>IMAGE("https://drive.google.com/uc?export=view&amp;id=1JfDAvAaE1rIL4McPdY6qIwUyGyYuehhp", 4, 100, 100)</f>
        <v/>
      </c>
      <c r="D3" s="2" t="s">
        <v>62</v>
      </c>
      <c r="E3" s="2" t="s">
        <v>63</v>
      </c>
      <c r="F3" s="18"/>
      <c r="G3" s="21" t="s">
        <v>304</v>
      </c>
      <c r="H3" s="21" t="s">
        <v>164</v>
      </c>
      <c r="I3" s="21" t="s">
        <v>194</v>
      </c>
      <c r="J3" s="22" t="s">
        <v>166</v>
      </c>
      <c r="K3" s="22" t="s">
        <v>207</v>
      </c>
      <c r="L3" s="21" t="s">
        <v>180</v>
      </c>
      <c r="M3" s="21" t="s">
        <v>305</v>
      </c>
      <c r="N3" s="21" t="s">
        <v>208</v>
      </c>
      <c r="O3" s="21" t="s">
        <v>208</v>
      </c>
      <c r="P3" s="21" t="s">
        <v>169</v>
      </c>
      <c r="Q3" s="21" t="s">
        <v>174</v>
      </c>
      <c r="R3" s="21" t="s">
        <v>209</v>
      </c>
      <c r="S3" s="18"/>
      <c r="T3" s="18"/>
      <c r="U3" s="18"/>
      <c r="V3" s="22" t="s">
        <v>172</v>
      </c>
      <c r="W3" s="18"/>
      <c r="X3" s="21" t="s">
        <v>184</v>
      </c>
      <c r="Y3" s="18"/>
      <c r="Z3" s="18"/>
      <c r="AA3" s="18"/>
      <c r="AB3" s="18"/>
      <c r="AC3" s="22" t="s">
        <v>184</v>
      </c>
      <c r="AD3" s="21" t="s">
        <v>184</v>
      </c>
      <c r="AE3" s="21" t="s">
        <v>166</v>
      </c>
      <c r="AF3" s="21" t="s">
        <v>177</v>
      </c>
      <c r="AG3" s="18"/>
      <c r="AH3" s="18"/>
      <c r="AI3" s="18"/>
      <c r="AJ3" s="18"/>
      <c r="AK3" s="18"/>
      <c r="AL3" s="18"/>
      <c r="AM3" s="18"/>
      <c r="AN3" s="21" t="s">
        <v>210</v>
      </c>
      <c r="AO3" s="18"/>
      <c r="AP3" s="18"/>
      <c r="AQ3" s="18"/>
      <c r="AR3" s="18"/>
      <c r="AS3" s="18"/>
      <c r="AT3" s="18"/>
      <c r="AU3" s="18"/>
      <c r="AV3" s="18"/>
      <c r="AW3" s="18"/>
      <c r="AX3" s="18"/>
      <c r="AY3" s="18"/>
      <c r="AZ3" s="24" t="s">
        <v>211</v>
      </c>
      <c r="BA3" s="24" t="s">
        <v>212</v>
      </c>
    </row>
    <row r="4">
      <c r="A4" s="1" t="s">
        <v>64</v>
      </c>
      <c r="B4" s="16" t="s">
        <v>65</v>
      </c>
      <c r="C4" s="17" t="str">
        <f>IMAGE("https://drive.google.com/uc?export=view&amp;id=1J49Gfc4bVzKuvxGkpv8zv6guWvnnY3EA", 4, 100, 100)</f>
        <v/>
      </c>
      <c r="D4" s="2" t="s">
        <v>66</v>
      </c>
      <c r="E4" s="2" t="s">
        <v>67</v>
      </c>
      <c r="F4" s="21" t="s">
        <v>306</v>
      </c>
      <c r="G4" s="21" t="s">
        <v>213</v>
      </c>
      <c r="H4" s="21" t="s">
        <v>164</v>
      </c>
      <c r="I4" s="21" t="s">
        <v>165</v>
      </c>
      <c r="J4" s="22" t="s">
        <v>166</v>
      </c>
      <c r="K4" s="22" t="s">
        <v>191</v>
      </c>
      <c r="L4" s="21" t="s">
        <v>214</v>
      </c>
      <c r="M4" s="21" t="s">
        <v>168</v>
      </c>
      <c r="N4" s="21" t="s">
        <v>208</v>
      </c>
      <c r="O4" s="21" t="s">
        <v>208</v>
      </c>
      <c r="P4" s="21" t="s">
        <v>169</v>
      </c>
      <c r="Q4" s="21" t="s">
        <v>174</v>
      </c>
      <c r="R4" s="21" t="s">
        <v>215</v>
      </c>
      <c r="S4" s="18"/>
      <c r="T4" s="18"/>
      <c r="U4" s="18"/>
      <c r="V4" s="18"/>
      <c r="W4" s="18"/>
      <c r="X4" s="21" t="s">
        <v>173</v>
      </c>
      <c r="Y4" s="21" t="s">
        <v>216</v>
      </c>
      <c r="Z4" s="21" t="s">
        <v>217</v>
      </c>
      <c r="AA4" s="18"/>
      <c r="AB4" s="21" t="s">
        <v>166</v>
      </c>
      <c r="AC4" s="22" t="s">
        <v>173</v>
      </c>
      <c r="AD4" s="21" t="s">
        <v>218</v>
      </c>
      <c r="AE4" s="21" t="s">
        <v>166</v>
      </c>
      <c r="AF4" s="21" t="s">
        <v>219</v>
      </c>
      <c r="AG4" s="21" t="s">
        <v>188</v>
      </c>
      <c r="AH4" s="18"/>
      <c r="AI4" s="18"/>
      <c r="AJ4" s="18"/>
      <c r="AK4" s="18"/>
      <c r="AL4" s="18"/>
      <c r="AM4" s="18"/>
      <c r="AN4" s="21" t="s">
        <v>220</v>
      </c>
      <c r="AO4" s="22" t="s">
        <v>221</v>
      </c>
      <c r="AP4" s="18"/>
      <c r="AQ4" s="18"/>
      <c r="AR4" s="18"/>
      <c r="AS4" s="18"/>
      <c r="AT4" s="18"/>
      <c r="AU4" s="18"/>
      <c r="AV4" s="18"/>
      <c r="AW4" s="18"/>
      <c r="AX4" s="18"/>
      <c r="AY4" s="18"/>
      <c r="AZ4" s="15"/>
      <c r="BA4" s="15"/>
    </row>
    <row r="5" ht="99.0" customHeight="1">
      <c r="A5" s="1" t="s">
        <v>68</v>
      </c>
      <c r="B5" s="16" t="s">
        <v>69</v>
      </c>
      <c r="C5" s="17" t="str">
        <f>IMAGE("https://drive.google.com/uc?export=view&amp;id=1MXEcWSpl0gmzjGsPlEMoQtvPfqe0d_jr", 4, 100, 100)</f>
        <v/>
      </c>
      <c r="D5" s="2" t="s">
        <v>70</v>
      </c>
      <c r="E5" s="2" t="s">
        <v>71</v>
      </c>
      <c r="F5" s="18"/>
      <c r="G5" s="21" t="s">
        <v>285</v>
      </c>
      <c r="H5" s="21" t="s">
        <v>222</v>
      </c>
      <c r="I5" s="21" t="s">
        <v>165</v>
      </c>
      <c r="J5" s="22" t="s">
        <v>166</v>
      </c>
      <c r="K5" s="22" t="s">
        <v>167</v>
      </c>
      <c r="L5" s="21" t="s">
        <v>180</v>
      </c>
      <c r="M5" s="21" t="s">
        <v>168</v>
      </c>
      <c r="N5" s="21" t="s">
        <v>168</v>
      </c>
      <c r="O5" s="21" t="s">
        <v>168</v>
      </c>
      <c r="P5" s="21" t="s">
        <v>223</v>
      </c>
      <c r="Q5" s="21" t="s">
        <v>174</v>
      </c>
      <c r="R5" s="21" t="s">
        <v>224</v>
      </c>
      <c r="S5" s="18"/>
      <c r="T5" s="18"/>
      <c r="U5" s="21" t="s">
        <v>182</v>
      </c>
      <c r="V5" s="18"/>
      <c r="W5" s="22" t="s">
        <v>183</v>
      </c>
      <c r="X5" s="21" t="s">
        <v>184</v>
      </c>
      <c r="Y5" s="21" t="s">
        <v>185</v>
      </c>
      <c r="Z5" s="21" t="s">
        <v>217</v>
      </c>
      <c r="AA5" s="21" t="s">
        <v>187</v>
      </c>
      <c r="AB5" s="21" t="s">
        <v>166</v>
      </c>
      <c r="AC5" s="22" t="s">
        <v>184</v>
      </c>
      <c r="AD5" s="21"/>
      <c r="AE5" s="21" t="s">
        <v>166</v>
      </c>
      <c r="AF5" s="21" t="s">
        <v>177</v>
      </c>
      <c r="AG5" s="21" t="s">
        <v>188</v>
      </c>
      <c r="AH5" s="22" t="s">
        <v>189</v>
      </c>
      <c r="AI5" s="18"/>
      <c r="AJ5" s="18"/>
      <c r="AK5" s="18"/>
      <c r="AL5" s="18"/>
      <c r="AM5" s="18"/>
      <c r="AN5" s="18"/>
      <c r="AO5" s="18"/>
      <c r="AP5" s="18"/>
      <c r="AQ5" s="18"/>
      <c r="AR5" s="18"/>
      <c r="AS5" s="18"/>
      <c r="AT5" s="18"/>
      <c r="AU5" s="18"/>
      <c r="AV5" s="18"/>
      <c r="AW5" s="18"/>
      <c r="AX5" s="18"/>
      <c r="AY5" s="18"/>
      <c r="AZ5" s="15"/>
      <c r="BA5" s="15"/>
    </row>
    <row r="6" ht="327.0" customHeight="1">
      <c r="A6" s="1" t="s">
        <v>72</v>
      </c>
      <c r="B6" s="16" t="s">
        <v>73</v>
      </c>
      <c r="C6" s="17" t="str">
        <f>IMAGE("https://drive.google.com/uc?export=view&amp;id=1Ojazvc8xkFii9uqOHBl6y4Vihx433y5v", 4, 100, 100)</f>
        <v/>
      </c>
      <c r="D6" s="2" t="s">
        <v>74</v>
      </c>
      <c r="E6" s="2" t="s">
        <v>75</v>
      </c>
      <c r="F6" s="21" t="s">
        <v>307</v>
      </c>
      <c r="G6" s="21" t="s">
        <v>213</v>
      </c>
      <c r="H6" s="21" t="s">
        <v>164</v>
      </c>
      <c r="I6" s="21" t="s">
        <v>165</v>
      </c>
      <c r="J6" s="22" t="s">
        <v>166</v>
      </c>
      <c r="K6" s="22" t="s">
        <v>191</v>
      </c>
      <c r="L6" s="21" t="s">
        <v>226</v>
      </c>
      <c r="M6" s="21" t="s">
        <v>168</v>
      </c>
      <c r="N6" s="21" t="s">
        <v>227</v>
      </c>
      <c r="O6" s="21" t="s">
        <v>168</v>
      </c>
      <c r="P6" s="21" t="s">
        <v>169</v>
      </c>
      <c r="Q6" s="21" t="s">
        <v>174</v>
      </c>
      <c r="R6" s="21" t="s">
        <v>197</v>
      </c>
      <c r="S6" s="18"/>
      <c r="T6" s="18"/>
      <c r="U6" s="18"/>
      <c r="V6" s="18"/>
      <c r="W6" s="18"/>
      <c r="X6" s="21" t="s">
        <v>173</v>
      </c>
      <c r="Y6" s="18"/>
      <c r="Z6" s="18"/>
      <c r="AA6" s="18"/>
      <c r="AB6" s="18"/>
      <c r="AC6" s="18"/>
      <c r="AD6" s="21" t="s">
        <v>218</v>
      </c>
      <c r="AE6" s="21" t="s">
        <v>166</v>
      </c>
      <c r="AF6" s="21" t="s">
        <v>228</v>
      </c>
      <c r="AG6" s="18"/>
      <c r="AH6" s="18"/>
      <c r="AI6" s="18"/>
      <c r="AJ6" s="18"/>
      <c r="AK6" s="18"/>
      <c r="AL6" s="18"/>
      <c r="AM6" s="18"/>
      <c r="AN6" s="21" t="s">
        <v>229</v>
      </c>
      <c r="AO6" s="22" t="s">
        <v>202</v>
      </c>
      <c r="AP6" s="18"/>
      <c r="AQ6" s="18"/>
      <c r="AR6" s="21" t="s">
        <v>230</v>
      </c>
      <c r="AS6" s="18"/>
      <c r="AT6" s="18"/>
      <c r="AU6" s="18"/>
      <c r="AV6" s="18"/>
      <c r="AW6" s="18"/>
      <c r="AX6" s="18"/>
      <c r="AY6" s="18"/>
      <c r="AZ6" s="24" t="s">
        <v>231</v>
      </c>
      <c r="BA6" s="15"/>
    </row>
    <row r="7">
      <c r="A7" s="1" t="s">
        <v>76</v>
      </c>
      <c r="B7" s="16" t="s">
        <v>77</v>
      </c>
      <c r="C7" s="17" t="str">
        <f>IMAGE("https://drive.google.com/uc?export=view&amp;id=1yngs7LqTHvGIMbqZ4hcwG79ijEFgnPnk", 4, 100, 100)</f>
        <v/>
      </c>
      <c r="D7" s="2" t="s">
        <v>78</v>
      </c>
      <c r="E7" s="2" t="s">
        <v>79</v>
      </c>
      <c r="F7" s="21" t="s">
        <v>308</v>
      </c>
      <c r="G7" s="18"/>
      <c r="H7" s="21" t="s">
        <v>164</v>
      </c>
      <c r="I7" s="21" t="s">
        <v>165</v>
      </c>
      <c r="J7" s="22" t="s">
        <v>193</v>
      </c>
      <c r="K7" s="22" t="s">
        <v>191</v>
      </c>
      <c r="L7" s="21" t="s">
        <v>199</v>
      </c>
      <c r="M7" s="21" t="s">
        <v>168</v>
      </c>
      <c r="N7" s="21" t="s">
        <v>208</v>
      </c>
      <c r="O7" s="21" t="s">
        <v>208</v>
      </c>
      <c r="P7" s="21" t="s">
        <v>223</v>
      </c>
      <c r="Q7" s="21" t="s">
        <v>196</v>
      </c>
      <c r="R7" s="21" t="s">
        <v>197</v>
      </c>
      <c r="S7" s="18"/>
      <c r="T7" s="18"/>
      <c r="U7" s="18"/>
      <c r="V7" s="18"/>
      <c r="W7" s="18"/>
      <c r="X7" s="18"/>
      <c r="Y7" s="18"/>
      <c r="Z7" s="18"/>
      <c r="AA7" s="18"/>
      <c r="AB7" s="21" t="s">
        <v>166</v>
      </c>
      <c r="AC7" s="22" t="s">
        <v>173</v>
      </c>
      <c r="AD7" s="18"/>
      <c r="AE7" s="21" t="s">
        <v>166</v>
      </c>
      <c r="AF7" s="21" t="s">
        <v>177</v>
      </c>
      <c r="AG7" s="21" t="s">
        <v>188</v>
      </c>
      <c r="AH7" s="18"/>
      <c r="AI7" s="18"/>
      <c r="AJ7" s="18"/>
      <c r="AK7" s="18"/>
      <c r="AL7" s="18"/>
      <c r="AM7" s="18"/>
      <c r="AN7" s="21" t="s">
        <v>178</v>
      </c>
      <c r="AO7" s="18"/>
      <c r="AP7" s="18"/>
      <c r="AQ7" s="18"/>
      <c r="AR7" s="18"/>
      <c r="AS7" s="18"/>
      <c r="AT7" s="18"/>
      <c r="AU7" s="18"/>
      <c r="AV7" s="18"/>
      <c r="AW7" s="18"/>
      <c r="AX7" s="18"/>
      <c r="AY7" s="18"/>
      <c r="AZ7" s="15"/>
      <c r="BA7" s="15"/>
    </row>
    <row r="8">
      <c r="A8" s="1" t="s">
        <v>80</v>
      </c>
      <c r="B8" s="16" t="s">
        <v>81</v>
      </c>
      <c r="C8" s="17" t="str">
        <f>IMAGE("https://drive.google.com/uc?export=view&amp;id=1XduVUue6rnheAMdlVSEYV0_eFu0geikY", 4, 100, 100)</f>
        <v/>
      </c>
      <c r="D8" s="2" t="s">
        <v>82</v>
      </c>
      <c r="E8" s="2" t="s">
        <v>83</v>
      </c>
      <c r="F8" s="18"/>
      <c r="G8" s="18"/>
      <c r="H8" s="21" t="s">
        <v>164</v>
      </c>
      <c r="I8" s="21" t="s">
        <v>194</v>
      </c>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5"/>
      <c r="BA8" s="15"/>
    </row>
    <row r="9">
      <c r="A9" s="1" t="s">
        <v>84</v>
      </c>
      <c r="B9" s="16" t="s">
        <v>85</v>
      </c>
      <c r="C9" s="17" t="str">
        <f>IMAGE("https://drive.google.com/uc?export=view&amp;id=1-Xm53O1x22DSK1K9TYpva2sulz1oWVOa", 4, 100, 100)</f>
        <v/>
      </c>
      <c r="D9" s="2" t="s">
        <v>86</v>
      </c>
      <c r="E9" s="2" t="s">
        <v>87</v>
      </c>
      <c r="F9" s="21" t="s">
        <v>309</v>
      </c>
      <c r="G9" s="18"/>
      <c r="H9" s="21" t="s">
        <v>164</v>
      </c>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5"/>
      <c r="BA9" s="15"/>
    </row>
    <row r="10">
      <c r="A10" s="27" t="s">
        <v>310</v>
      </c>
      <c r="B10" s="28" t="s">
        <v>311</v>
      </c>
      <c r="C10" s="29" t="str">
        <f>IMAGE("https://drive.google.com/uc?export=view&amp;id=1e3IQqAzLy7gykU0s4zbrb-XFLAyTkVxe", 4, 100, 100)</f>
        <v/>
      </c>
      <c r="D10" s="30"/>
      <c r="E10" s="31" t="s">
        <v>134</v>
      </c>
      <c r="F10" s="46" t="s">
        <v>307</v>
      </c>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row>
    <row r="11">
      <c r="A11" s="27" t="s">
        <v>312</v>
      </c>
      <c r="B11" s="28" t="s">
        <v>313</v>
      </c>
      <c r="C11" s="29" t="str">
        <f>IMAGE("https://drive.google.com/uc?export=view&amp;id=11Z7tX-BK1IH5Jg7kg45RMEw-q9EdOeU6", 4, 100, 100)</f>
        <v/>
      </c>
      <c r="D11" s="30"/>
      <c r="E11" s="31" t="s">
        <v>134</v>
      </c>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row>
    <row r="12">
      <c r="A12" s="1" t="s">
        <v>88</v>
      </c>
      <c r="B12" s="16" t="s">
        <v>89</v>
      </c>
      <c r="C12" s="17" t="str">
        <f>IMAGE("https://drive.google.com/uc?export=view&amp;id=1AKoQ-XoHxuN3UKw5aylfpyQpV97sQmO0", 4, 100, 100)</f>
        <v/>
      </c>
      <c r="D12" s="2" t="s">
        <v>90</v>
      </c>
      <c r="E12" s="2" t="s">
        <v>91</v>
      </c>
      <c r="F12" s="18"/>
      <c r="G12" s="21" t="s">
        <v>213</v>
      </c>
      <c r="H12" s="21" t="s">
        <v>164</v>
      </c>
      <c r="I12" s="21" t="s">
        <v>165</v>
      </c>
      <c r="J12" s="22" t="s">
        <v>248</v>
      </c>
      <c r="K12" s="22" t="s">
        <v>167</v>
      </c>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5"/>
      <c r="BA12" s="15"/>
    </row>
    <row r="13">
      <c r="A13" s="1" t="s">
        <v>92</v>
      </c>
      <c r="B13" s="16" t="s">
        <v>93</v>
      </c>
      <c r="C13" s="17" t="str">
        <f>IMAGE("https://drive.google.com/uc?export=view&amp;id=1Oza3KMMixd8mOEaWvtNzFsH-1Pr5dzqD", 4, 100, 100)</f>
        <v/>
      </c>
      <c r="D13" s="2" t="s">
        <v>94</v>
      </c>
      <c r="E13" s="2" t="s">
        <v>95</v>
      </c>
      <c r="F13" s="18"/>
      <c r="G13" s="21" t="s">
        <v>314</v>
      </c>
      <c r="H13" s="21" t="s">
        <v>164</v>
      </c>
      <c r="I13" s="21" t="s">
        <v>194</v>
      </c>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5"/>
      <c r="BA13" s="15"/>
    </row>
    <row r="14">
      <c r="A14" s="1" t="s">
        <v>96</v>
      </c>
      <c r="B14" s="16" t="s">
        <v>97</v>
      </c>
      <c r="C14" s="17" t="str">
        <f>IMAGE("https://drive.google.com/uc?export=view&amp;id=1Tvarsnfxg3ZicRhH_EuUxr7IryjTQtan", 4, 100, 100)</f>
        <v/>
      </c>
      <c r="D14" s="2" t="s">
        <v>98</v>
      </c>
      <c r="E14" s="2" t="s">
        <v>99</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5"/>
      <c r="BA14" s="15"/>
    </row>
    <row r="15">
      <c r="A15" s="1" t="s">
        <v>100</v>
      </c>
      <c r="B15" s="16" t="s">
        <v>101</v>
      </c>
      <c r="C15" s="17" t="str">
        <f>IMAGE("https://drive.google.com/uc?export=view&amp;id=1EHae-Ca2CBMJdJuhDkP2spQhUDSyj10i", 4, 100, 100)</f>
        <v/>
      </c>
      <c r="D15" s="2" t="s">
        <v>102</v>
      </c>
      <c r="E15" s="2" t="s">
        <v>103</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5"/>
      <c r="BA15" s="15"/>
    </row>
    <row r="16">
      <c r="A16" s="27" t="s">
        <v>251</v>
      </c>
      <c r="B16" s="28" t="s">
        <v>252</v>
      </c>
      <c r="C16" s="29" t="str">
        <f>IMAGE("https://drive.google.com/uc?export=view&amp;id=1M9N28XGb0oTmUbuYC4CcY_-7cwuteGmU", 4, 100, 100)</f>
        <v/>
      </c>
      <c r="D16" s="30"/>
      <c r="E16" s="31" t="s">
        <v>134</v>
      </c>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row>
    <row r="17">
      <c r="A17" s="27" t="s">
        <v>253</v>
      </c>
      <c r="B17" s="28" t="s">
        <v>254</v>
      </c>
      <c r="C17" s="29" t="str">
        <f>IMAGE("https://drive.google.com/uc?export=view&amp;id=125DhH89FIjjXQgSDHHj1xdkcFjZbdVYo", 4, 100, 100)</f>
        <v/>
      </c>
      <c r="D17" s="31" t="s">
        <v>255</v>
      </c>
      <c r="E17" s="31" t="s">
        <v>256</v>
      </c>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row>
    <row r="18">
      <c r="A18" s="27" t="s">
        <v>257</v>
      </c>
      <c r="B18" s="28" t="s">
        <v>258</v>
      </c>
      <c r="C18" s="29" t="str">
        <f>IMAGE("https://drive.google.com/uc?export=view&amp;id=1L0WphA_5NM5KnZbuwaj65KknaqVRAgaz", 4, 100, 100)</f>
        <v/>
      </c>
      <c r="D18" s="30"/>
      <c r="E18" s="31" t="s">
        <v>134</v>
      </c>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row>
    <row r="19">
      <c r="A19" s="27" t="s">
        <v>259</v>
      </c>
      <c r="B19" s="28" t="s">
        <v>260</v>
      </c>
      <c r="C19" s="29" t="str">
        <f>IMAGE("https://drive.google.com/uc?export=view&amp;id=1uDCbtY6ASPNzLTfzS1fWIWPha89v2qRN", 4, 100, 100)</f>
        <v/>
      </c>
      <c r="D19" s="30"/>
      <c r="E19" s="31" t="s">
        <v>134</v>
      </c>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row>
    <row r="20">
      <c r="A20" s="27" t="s">
        <v>261</v>
      </c>
      <c r="B20" s="28" t="s">
        <v>262</v>
      </c>
      <c r="C20" s="29" t="str">
        <f>IMAGE("https://drive.google.com/uc?export=view&amp;id=1SMSOPMhCPBDKCztW9QMas8O9e8eaahT7", 4, 100, 100)</f>
        <v/>
      </c>
      <c r="D20" s="30"/>
      <c r="E20" s="31" t="s">
        <v>134</v>
      </c>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row>
    <row r="21">
      <c r="A21" s="27" t="s">
        <v>263</v>
      </c>
      <c r="B21" s="28" t="s">
        <v>264</v>
      </c>
      <c r="C21" s="29" t="str">
        <f>IMAGE("https://drive.google.com/uc?export=view&amp;id=1L8GBNXjSBnVh7q3Bdxan7W1Rh2iKCGPw", 4, 100, 100)</f>
        <v/>
      </c>
      <c r="D21" s="30"/>
      <c r="E21" s="31" t="s">
        <v>134</v>
      </c>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row>
    <row r="22">
      <c r="A22" s="33" t="s">
        <v>265</v>
      </c>
      <c r="B22" s="34" t="s">
        <v>266</v>
      </c>
      <c r="C22" s="35" t="str">
        <f>IMAGE("https://drive.google.com/uc?export=view&amp;id=1LdpZlgRO6JQ6MgpqiEX7ugKs9kMD5cNX", 4, 100, 100)</f>
        <v/>
      </c>
      <c r="D22" s="36"/>
      <c r="E22" s="37" t="s">
        <v>134</v>
      </c>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row>
    <row r="23">
      <c r="A23" s="1" t="s">
        <v>267</v>
      </c>
      <c r="B23" s="16" t="s">
        <v>268</v>
      </c>
      <c r="C23" s="17" t="str">
        <f>IMAGE("https://drive.google.com/uc?export=view&amp;id=1R3g_DLdsiszhwFKIGw8dj8AnVnWISoEM", 4, 100, 100)</f>
        <v/>
      </c>
      <c r="D23" s="20"/>
      <c r="E23" s="2" t="s">
        <v>134</v>
      </c>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5"/>
      <c r="BA23" s="15"/>
    </row>
    <row r="24">
      <c r="A24" s="1" t="s">
        <v>269</v>
      </c>
      <c r="B24" s="16" t="s">
        <v>270</v>
      </c>
      <c r="C24" s="17" t="str">
        <f>IMAGE("https://drive.google.com/uc?export=view&amp;id=1YNktfHd5UiG1CNJ-ciVDtokF0_26716i", 4, 100, 100)</f>
        <v/>
      </c>
      <c r="D24" s="20"/>
      <c r="E24" s="2" t="s">
        <v>134</v>
      </c>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row>
    <row r="25">
      <c r="A25" s="27" t="s">
        <v>271</v>
      </c>
      <c r="B25" s="28" t="s">
        <v>272</v>
      </c>
      <c r="C25" s="29" t="str">
        <f>IMAGE("https://drive.google.com/uc?export=view&amp;id=1gijO13TnyEjpTOvf58ZGwxIM3yIHDA0U", 4, 100, 100)</f>
        <v/>
      </c>
      <c r="D25" s="30"/>
      <c r="E25" s="31" t="s">
        <v>134</v>
      </c>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row>
    <row r="26">
      <c r="A26" s="1" t="s">
        <v>273</v>
      </c>
      <c r="B26" s="16" t="s">
        <v>274</v>
      </c>
      <c r="C26" s="17" t="str">
        <f>IMAGE("https://drive.google.com/uc?export=view&amp;id=1N-VjBQNp4NGhBS6pPX2AdFGXeGeMdZ1S", 4, 100, 100)</f>
        <v/>
      </c>
      <c r="D26" s="2" t="s">
        <v>275</v>
      </c>
      <c r="E26" s="2" t="s">
        <v>276</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5"/>
      <c r="BA26" s="15"/>
    </row>
    <row r="27">
      <c r="A27" s="27" t="s">
        <v>277</v>
      </c>
      <c r="B27" s="28" t="s">
        <v>278</v>
      </c>
      <c r="C27" s="29" t="str">
        <f>IMAGE("https://drive.google.com/uc?export=view&amp;id=1Ud9oxAFjcGZiFL8Wy9oN4NARZQKofR5i", 4, 100, 100)</f>
        <v/>
      </c>
      <c r="D27" s="30"/>
      <c r="E27" s="31" t="s">
        <v>134</v>
      </c>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row>
    <row r="28">
      <c r="A28" s="1" t="s">
        <v>104</v>
      </c>
      <c r="B28" s="16" t="s">
        <v>105</v>
      </c>
      <c r="C28" s="17" t="str">
        <f>IMAGE("https://drive.google.com/uc?export=view&amp;id=1k6ocBN2POcpbbuWgsadcrC99GfnEruXp", 4, 100, 100)</f>
        <v/>
      </c>
      <c r="D28" s="2" t="s">
        <v>106</v>
      </c>
      <c r="E28" s="2" t="s">
        <v>107</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5"/>
      <c r="BA28" s="15"/>
    </row>
    <row r="29">
      <c r="A29" s="1" t="s">
        <v>283</v>
      </c>
      <c r="B29" s="16" t="s">
        <v>284</v>
      </c>
      <c r="C29" s="17" t="str">
        <f>IMAGE("https://drive.google.com/uc?export=view&amp;id=1c2PE9rGWyNVr95fnPH7iqcLlmHUdjv9C", 4, 100, 100)</f>
        <v/>
      </c>
      <c r="D29" s="20"/>
      <c r="E29" s="2" t="s">
        <v>134</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5"/>
      <c r="BA29" s="15"/>
    </row>
    <row r="30">
      <c r="A30" s="1" t="s">
        <v>108</v>
      </c>
      <c r="B30" s="16" t="s">
        <v>109</v>
      </c>
      <c r="C30" s="17" t="str">
        <f>IMAGE("https://drive.google.com/uc?export=view&amp;id=1fQ5fzHB40zNWUeTpYSybFMA2Dlrud6kE", 4, 100, 100)</f>
        <v/>
      </c>
      <c r="D30" s="2" t="s">
        <v>110</v>
      </c>
      <c r="E30" s="2" t="s">
        <v>111</v>
      </c>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5"/>
      <c r="BA30" s="15"/>
    </row>
    <row r="31" ht="14.25" customHeight="1">
      <c r="A31" s="33" t="s">
        <v>290</v>
      </c>
      <c r="B31" s="34" t="s">
        <v>291</v>
      </c>
      <c r="C31" s="35" t="str">
        <f>IMAGE("https://drive.google.com/uc?export=view&amp;id=1dAeuLUZJxZPNSkvXJp7ExR7BHHGH_FXs", 4, 100, 100)</f>
        <v/>
      </c>
      <c r="D31" s="45" t="s">
        <v>292</v>
      </c>
      <c r="E31" s="45" t="s">
        <v>293</v>
      </c>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row>
    <row r="32">
      <c r="A32" s="27" t="s">
        <v>294</v>
      </c>
      <c r="B32" s="28" t="s">
        <v>295</v>
      </c>
      <c r="C32" s="29" t="str">
        <f>IMAGE("https://drive.google.com/uc?export=view&amp;id=1LATmy1nWCVX1nyHr6DGU6MhelRIbQmn3", 4, 100, 100)</f>
        <v/>
      </c>
      <c r="D32" s="31" t="s">
        <v>296</v>
      </c>
      <c r="E32" s="31" t="s">
        <v>297</v>
      </c>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row>
    <row r="33">
      <c r="A33" s="1" t="s">
        <v>299</v>
      </c>
      <c r="B33" s="16" t="s">
        <v>300</v>
      </c>
      <c r="C33" s="17" t="str">
        <f>IMAGE("https://drive.google.com/uc?export=view&amp;id=1vRYacbkg2KAEGNM7JEmaG22ZlgZSbUDb", 4, 100, 100)</f>
        <v/>
      </c>
      <c r="D33" s="20"/>
      <c r="E33" s="2" t="s">
        <v>134</v>
      </c>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5"/>
      <c r="BA33" s="15"/>
    </row>
    <row r="34">
      <c r="A34" s="1" t="s">
        <v>301</v>
      </c>
      <c r="B34" s="16" t="s">
        <v>302</v>
      </c>
      <c r="C34" s="17" t="str">
        <f>IMAGE("https://drive.google.com/uc?export=view&amp;id=1Kgn_G5AWb3MeaXz9UFYL37FvaQRK4plG", 4, 100, 100)</f>
        <v/>
      </c>
      <c r="D34" s="20"/>
      <c r="E34" s="2" t="s">
        <v>134</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5"/>
      <c r="BA34" s="15"/>
    </row>
    <row r="35">
      <c r="D35" s="20"/>
      <c r="E35" s="20"/>
    </row>
    <row r="36">
      <c r="D36" s="20"/>
      <c r="E36" s="20"/>
    </row>
    <row r="37">
      <c r="D37" s="20"/>
      <c r="E37" s="20"/>
    </row>
    <row r="38">
      <c r="D38" s="20"/>
      <c r="E38" s="20"/>
    </row>
    <row r="39">
      <c r="D39" s="20"/>
      <c r="E39" s="20"/>
    </row>
    <row r="40">
      <c r="D40" s="20"/>
      <c r="E40" s="20"/>
    </row>
    <row r="41">
      <c r="D41" s="20"/>
      <c r="E41" s="20"/>
    </row>
    <row r="42">
      <c r="D42" s="20"/>
      <c r="E42" s="20"/>
    </row>
    <row r="43">
      <c r="D43" s="20"/>
      <c r="E43" s="20"/>
    </row>
    <row r="44">
      <c r="D44" s="20"/>
      <c r="E44" s="20"/>
    </row>
    <row r="45">
      <c r="D45" s="20"/>
      <c r="E45" s="20"/>
    </row>
    <row r="46">
      <c r="D46" s="20"/>
      <c r="E46" s="20"/>
    </row>
    <row r="47">
      <c r="D47" s="20"/>
      <c r="E47" s="20"/>
    </row>
    <row r="48">
      <c r="D48" s="20"/>
      <c r="E48" s="20"/>
    </row>
    <row r="49">
      <c r="D49" s="20"/>
      <c r="E49" s="20"/>
    </row>
    <row r="50">
      <c r="D50" s="20"/>
      <c r="E50" s="20"/>
    </row>
    <row r="51">
      <c r="D51" s="20"/>
      <c r="E51" s="20"/>
    </row>
    <row r="52">
      <c r="D52" s="20"/>
      <c r="E52" s="20"/>
    </row>
    <row r="53">
      <c r="D53" s="20"/>
      <c r="E53" s="20"/>
    </row>
    <row r="54">
      <c r="D54" s="20"/>
      <c r="E54" s="20"/>
    </row>
    <row r="55">
      <c r="D55" s="20"/>
      <c r="E55" s="20"/>
    </row>
    <row r="56">
      <c r="D56" s="20"/>
      <c r="E56" s="20"/>
    </row>
    <row r="57">
      <c r="D57" s="20"/>
      <c r="E57" s="20"/>
    </row>
    <row r="58">
      <c r="D58" s="20"/>
      <c r="E58" s="20"/>
    </row>
    <row r="59">
      <c r="D59" s="20"/>
      <c r="E59" s="20"/>
    </row>
    <row r="60">
      <c r="D60" s="20"/>
      <c r="E60" s="20"/>
    </row>
    <row r="61">
      <c r="D61" s="20"/>
      <c r="E61" s="20"/>
    </row>
    <row r="62">
      <c r="D62" s="20"/>
      <c r="E62" s="20"/>
    </row>
    <row r="63">
      <c r="D63" s="20"/>
      <c r="E63" s="20"/>
    </row>
    <row r="64">
      <c r="D64" s="20"/>
      <c r="E64" s="20"/>
    </row>
    <row r="65">
      <c r="D65" s="20"/>
      <c r="E65" s="20"/>
    </row>
    <row r="66">
      <c r="D66" s="20"/>
      <c r="E66" s="20"/>
    </row>
    <row r="67">
      <c r="D67" s="20"/>
      <c r="E67" s="20"/>
    </row>
    <row r="68">
      <c r="D68" s="20"/>
      <c r="E68" s="20"/>
    </row>
    <row r="69">
      <c r="D69" s="20"/>
      <c r="E69" s="20"/>
    </row>
    <row r="70">
      <c r="D70" s="20"/>
      <c r="E70" s="20"/>
    </row>
    <row r="71">
      <c r="D71" s="20"/>
      <c r="E71" s="20"/>
    </row>
    <row r="72">
      <c r="D72" s="20"/>
      <c r="E72" s="20"/>
    </row>
    <row r="73">
      <c r="D73" s="20"/>
      <c r="E73" s="20"/>
    </row>
    <row r="74">
      <c r="D74" s="20"/>
      <c r="E74" s="20"/>
    </row>
    <row r="75">
      <c r="D75" s="20"/>
      <c r="E75" s="20"/>
    </row>
    <row r="76">
      <c r="D76" s="20"/>
      <c r="E76" s="20"/>
    </row>
    <row r="77">
      <c r="D77" s="20"/>
      <c r="E77" s="20"/>
    </row>
    <row r="78">
      <c r="D78" s="20"/>
      <c r="E78" s="20"/>
    </row>
    <row r="79">
      <c r="D79" s="20"/>
      <c r="E79" s="20"/>
    </row>
    <row r="80">
      <c r="D80" s="20"/>
      <c r="E80" s="20"/>
    </row>
    <row r="81">
      <c r="D81" s="20"/>
      <c r="E81" s="20"/>
    </row>
    <row r="82">
      <c r="D82" s="20"/>
      <c r="E82" s="20"/>
    </row>
    <row r="83">
      <c r="D83" s="20"/>
      <c r="E83" s="20"/>
    </row>
    <row r="84">
      <c r="D84" s="20"/>
      <c r="E84" s="20"/>
    </row>
    <row r="85">
      <c r="D85" s="20"/>
      <c r="E85" s="20"/>
    </row>
    <row r="86">
      <c r="D86" s="20"/>
      <c r="E86" s="20"/>
    </row>
    <row r="87">
      <c r="D87" s="20"/>
      <c r="E87" s="20"/>
    </row>
    <row r="88">
      <c r="D88" s="20"/>
      <c r="E88" s="20"/>
    </row>
    <row r="89">
      <c r="D89" s="20"/>
      <c r="E89" s="20"/>
    </row>
    <row r="90">
      <c r="D90" s="20"/>
      <c r="E90" s="20"/>
    </row>
    <row r="91">
      <c r="D91" s="20"/>
      <c r="E91" s="20"/>
    </row>
    <row r="92">
      <c r="D92" s="20"/>
      <c r="E92" s="20"/>
    </row>
    <row r="93">
      <c r="D93" s="20"/>
      <c r="E93" s="20"/>
    </row>
    <row r="94">
      <c r="D94" s="20"/>
      <c r="E94" s="20"/>
    </row>
    <row r="95">
      <c r="D95" s="20"/>
      <c r="E95" s="20"/>
    </row>
    <row r="96">
      <c r="D96" s="20"/>
      <c r="E96" s="20"/>
    </row>
    <row r="97">
      <c r="D97" s="20"/>
      <c r="E97" s="20"/>
    </row>
    <row r="98">
      <c r="D98" s="20"/>
      <c r="E98" s="20"/>
    </row>
    <row r="99">
      <c r="D99" s="20"/>
      <c r="E99" s="20"/>
    </row>
    <row r="100">
      <c r="D100" s="20"/>
      <c r="E100" s="20"/>
    </row>
    <row r="101">
      <c r="D101" s="20"/>
      <c r="E101" s="20"/>
    </row>
    <row r="102">
      <c r="D102" s="20"/>
      <c r="E102" s="20"/>
    </row>
    <row r="103">
      <c r="D103" s="20"/>
      <c r="E103" s="20"/>
    </row>
    <row r="104">
      <c r="D104" s="20"/>
      <c r="E104" s="20"/>
    </row>
    <row r="105">
      <c r="D105" s="20"/>
      <c r="E105" s="20"/>
    </row>
    <row r="106">
      <c r="D106" s="20"/>
      <c r="E106" s="20"/>
    </row>
    <row r="107">
      <c r="D107" s="20"/>
      <c r="E107" s="20"/>
    </row>
    <row r="108">
      <c r="D108" s="20"/>
      <c r="E108" s="20"/>
    </row>
    <row r="109">
      <c r="D109" s="20"/>
      <c r="E109" s="20"/>
    </row>
    <row r="110">
      <c r="D110" s="20"/>
      <c r="E110" s="20"/>
    </row>
    <row r="111">
      <c r="D111" s="20"/>
      <c r="E111" s="20"/>
    </row>
    <row r="112">
      <c r="D112" s="20"/>
      <c r="E112" s="20"/>
    </row>
    <row r="113">
      <c r="D113" s="20"/>
      <c r="E113" s="20"/>
    </row>
    <row r="114">
      <c r="D114" s="20"/>
      <c r="E114" s="20"/>
    </row>
    <row r="115">
      <c r="D115" s="20"/>
      <c r="E115" s="20"/>
    </row>
    <row r="116">
      <c r="D116" s="20"/>
      <c r="E116" s="20"/>
    </row>
    <row r="117">
      <c r="D117" s="20"/>
      <c r="E117" s="20"/>
    </row>
    <row r="118">
      <c r="D118" s="20"/>
      <c r="E118" s="20"/>
    </row>
    <row r="119">
      <c r="D119" s="20"/>
      <c r="E119" s="20"/>
    </row>
    <row r="120">
      <c r="D120" s="20"/>
      <c r="E120" s="20"/>
    </row>
    <row r="121">
      <c r="D121" s="20"/>
      <c r="E121" s="20"/>
    </row>
    <row r="122">
      <c r="D122" s="20"/>
      <c r="E122" s="20"/>
    </row>
    <row r="123">
      <c r="D123" s="20"/>
      <c r="E123" s="20"/>
    </row>
    <row r="124">
      <c r="D124" s="20"/>
      <c r="E124" s="20"/>
    </row>
    <row r="125">
      <c r="D125" s="20"/>
      <c r="E125" s="20"/>
    </row>
    <row r="126">
      <c r="D126" s="20"/>
      <c r="E126" s="20"/>
    </row>
    <row r="127">
      <c r="D127" s="20"/>
      <c r="E127" s="20"/>
    </row>
    <row r="128">
      <c r="D128" s="20"/>
      <c r="E128" s="20"/>
    </row>
    <row r="129">
      <c r="D129" s="20"/>
      <c r="E129" s="20"/>
    </row>
    <row r="130">
      <c r="D130" s="20"/>
      <c r="E130" s="20"/>
    </row>
    <row r="131">
      <c r="D131" s="20"/>
      <c r="E131" s="20"/>
    </row>
    <row r="132">
      <c r="D132" s="20"/>
      <c r="E132" s="20"/>
    </row>
    <row r="133">
      <c r="D133" s="20"/>
      <c r="E133" s="20"/>
    </row>
    <row r="134">
      <c r="D134" s="20"/>
      <c r="E134" s="20"/>
    </row>
    <row r="135">
      <c r="D135" s="20"/>
      <c r="E135" s="20"/>
    </row>
    <row r="136">
      <c r="D136" s="20"/>
      <c r="E136" s="20"/>
    </row>
    <row r="137">
      <c r="D137" s="20"/>
      <c r="E137" s="20"/>
    </row>
    <row r="138">
      <c r="D138" s="20"/>
      <c r="E138" s="20"/>
    </row>
    <row r="139">
      <c r="D139" s="20"/>
      <c r="E139" s="20"/>
    </row>
    <row r="140">
      <c r="D140" s="20"/>
      <c r="E140" s="20"/>
    </row>
    <row r="141">
      <c r="D141" s="20"/>
      <c r="E141" s="20"/>
    </row>
    <row r="142">
      <c r="D142" s="20"/>
      <c r="E142" s="20"/>
    </row>
    <row r="143">
      <c r="D143" s="20"/>
      <c r="E143" s="20"/>
    </row>
    <row r="144">
      <c r="D144" s="20"/>
      <c r="E144" s="20"/>
    </row>
    <row r="145">
      <c r="D145" s="20"/>
      <c r="E145" s="20"/>
    </row>
    <row r="146">
      <c r="D146" s="20"/>
      <c r="E146" s="20"/>
    </row>
    <row r="147">
      <c r="D147" s="20"/>
      <c r="E147" s="20"/>
    </row>
    <row r="148">
      <c r="D148" s="20"/>
      <c r="E148" s="20"/>
    </row>
    <row r="149">
      <c r="D149" s="20"/>
      <c r="E149" s="20"/>
    </row>
    <row r="150">
      <c r="D150" s="20"/>
      <c r="E150" s="20"/>
    </row>
    <row r="151">
      <c r="D151" s="20"/>
      <c r="E151" s="20"/>
    </row>
    <row r="152">
      <c r="D152" s="20"/>
      <c r="E152" s="20"/>
    </row>
    <row r="153">
      <c r="D153" s="20"/>
      <c r="E153" s="20"/>
    </row>
    <row r="154">
      <c r="D154" s="20"/>
      <c r="E154" s="20"/>
    </row>
    <row r="155">
      <c r="D155" s="20"/>
      <c r="E155" s="20"/>
    </row>
    <row r="156">
      <c r="D156" s="20"/>
      <c r="E156" s="20"/>
    </row>
    <row r="157">
      <c r="D157" s="20"/>
      <c r="E157" s="20"/>
    </row>
    <row r="158">
      <c r="D158" s="20"/>
      <c r="E158" s="20"/>
    </row>
    <row r="159">
      <c r="D159" s="20"/>
      <c r="E159" s="20"/>
    </row>
    <row r="160">
      <c r="D160" s="20"/>
      <c r="E160" s="20"/>
    </row>
    <row r="161">
      <c r="D161" s="20"/>
      <c r="E161" s="20"/>
    </row>
    <row r="162">
      <c r="D162" s="20"/>
      <c r="E162" s="20"/>
    </row>
    <row r="163">
      <c r="D163" s="20"/>
      <c r="E163" s="20"/>
    </row>
    <row r="164">
      <c r="D164" s="20"/>
      <c r="E164" s="20"/>
    </row>
    <row r="165">
      <c r="D165" s="20"/>
      <c r="E165" s="20"/>
    </row>
    <row r="166">
      <c r="D166" s="20"/>
      <c r="E166" s="20"/>
    </row>
    <row r="167">
      <c r="D167" s="20"/>
      <c r="E167" s="20"/>
    </row>
    <row r="168">
      <c r="D168" s="20"/>
      <c r="E168" s="20"/>
    </row>
    <row r="169">
      <c r="D169" s="20"/>
      <c r="E169" s="20"/>
    </row>
    <row r="170">
      <c r="D170" s="20"/>
      <c r="E170" s="20"/>
    </row>
    <row r="171">
      <c r="D171" s="20"/>
      <c r="E171" s="20"/>
    </row>
    <row r="172">
      <c r="D172" s="20"/>
      <c r="E172" s="20"/>
    </row>
    <row r="173">
      <c r="D173" s="20"/>
      <c r="E173" s="20"/>
    </row>
    <row r="174">
      <c r="D174" s="20"/>
      <c r="E174" s="20"/>
    </row>
    <row r="175">
      <c r="D175" s="20"/>
      <c r="E175" s="20"/>
    </row>
    <row r="176">
      <c r="D176" s="20"/>
      <c r="E176" s="20"/>
    </row>
    <row r="177">
      <c r="D177" s="20"/>
      <c r="E177" s="20"/>
    </row>
    <row r="178">
      <c r="D178" s="20"/>
      <c r="E178" s="20"/>
    </row>
    <row r="179">
      <c r="D179" s="20"/>
      <c r="E179" s="20"/>
    </row>
    <row r="180">
      <c r="D180" s="20"/>
      <c r="E180" s="20"/>
    </row>
    <row r="181">
      <c r="D181" s="20"/>
      <c r="E181" s="20"/>
    </row>
    <row r="182">
      <c r="D182" s="20"/>
      <c r="E182" s="20"/>
    </row>
    <row r="183">
      <c r="D183" s="20"/>
      <c r="E183" s="20"/>
    </row>
    <row r="184">
      <c r="D184" s="20"/>
      <c r="E184" s="20"/>
    </row>
    <row r="185">
      <c r="D185" s="20"/>
      <c r="E185" s="20"/>
    </row>
    <row r="186">
      <c r="D186" s="20"/>
      <c r="E186" s="20"/>
    </row>
    <row r="187">
      <c r="D187" s="20"/>
      <c r="E187" s="20"/>
    </row>
    <row r="188">
      <c r="D188" s="20"/>
      <c r="E188" s="20"/>
    </row>
    <row r="189">
      <c r="D189" s="20"/>
      <c r="E189" s="20"/>
    </row>
    <row r="190">
      <c r="D190" s="20"/>
      <c r="E190" s="20"/>
    </row>
    <row r="191">
      <c r="D191" s="20"/>
      <c r="E191" s="20"/>
    </row>
    <row r="192">
      <c r="D192" s="20"/>
      <c r="E192" s="20"/>
    </row>
    <row r="193">
      <c r="D193" s="20"/>
      <c r="E193" s="20"/>
    </row>
    <row r="194">
      <c r="D194" s="20"/>
      <c r="E194" s="20"/>
    </row>
    <row r="195">
      <c r="D195" s="20"/>
      <c r="E195" s="20"/>
    </row>
    <row r="196">
      <c r="D196" s="20"/>
      <c r="E196" s="20"/>
    </row>
    <row r="197">
      <c r="D197" s="20"/>
      <c r="E197" s="20"/>
    </row>
    <row r="198">
      <c r="D198" s="20"/>
      <c r="E198" s="20"/>
    </row>
    <row r="199">
      <c r="D199" s="20"/>
      <c r="E199" s="20"/>
    </row>
    <row r="200">
      <c r="D200" s="20"/>
      <c r="E200" s="20"/>
    </row>
    <row r="201">
      <c r="D201" s="20"/>
      <c r="E201" s="20"/>
    </row>
    <row r="202">
      <c r="D202" s="20"/>
      <c r="E202" s="20"/>
    </row>
    <row r="203">
      <c r="D203" s="20"/>
      <c r="E203" s="20"/>
    </row>
    <row r="204">
      <c r="D204" s="20"/>
      <c r="E204" s="20"/>
    </row>
    <row r="205">
      <c r="D205" s="20"/>
      <c r="E205" s="20"/>
    </row>
    <row r="206">
      <c r="D206" s="20"/>
      <c r="E206" s="20"/>
    </row>
    <row r="207">
      <c r="D207" s="20"/>
      <c r="E207" s="20"/>
    </row>
    <row r="208">
      <c r="D208" s="20"/>
      <c r="E208" s="20"/>
    </row>
    <row r="209">
      <c r="D209" s="20"/>
      <c r="E209" s="20"/>
    </row>
    <row r="210">
      <c r="D210" s="20"/>
      <c r="E210" s="20"/>
    </row>
    <row r="211">
      <c r="D211" s="20"/>
      <c r="E211" s="20"/>
    </row>
    <row r="212">
      <c r="D212" s="20"/>
      <c r="E212" s="20"/>
    </row>
    <row r="213">
      <c r="D213" s="20"/>
      <c r="E213" s="20"/>
    </row>
    <row r="214">
      <c r="D214" s="20"/>
      <c r="E214" s="20"/>
    </row>
    <row r="215">
      <c r="D215" s="20"/>
      <c r="E215" s="20"/>
    </row>
    <row r="216">
      <c r="D216" s="20"/>
      <c r="E216" s="20"/>
    </row>
    <row r="217">
      <c r="D217" s="20"/>
      <c r="E217" s="20"/>
    </row>
    <row r="218">
      <c r="D218" s="20"/>
      <c r="E218" s="20"/>
    </row>
    <row r="219">
      <c r="D219" s="20"/>
      <c r="E219" s="20"/>
    </row>
    <row r="220">
      <c r="D220" s="20"/>
      <c r="E220" s="20"/>
    </row>
    <row r="221">
      <c r="D221" s="20"/>
      <c r="E221" s="20"/>
    </row>
    <row r="222">
      <c r="D222" s="20"/>
      <c r="E222" s="20"/>
    </row>
    <row r="223">
      <c r="D223" s="20"/>
      <c r="E223" s="20"/>
    </row>
    <row r="224">
      <c r="D224" s="20"/>
      <c r="E224" s="20"/>
    </row>
    <row r="225">
      <c r="D225" s="20"/>
      <c r="E225" s="20"/>
    </row>
    <row r="226">
      <c r="D226" s="20"/>
      <c r="E226" s="20"/>
    </row>
    <row r="227">
      <c r="D227" s="20"/>
      <c r="E227" s="20"/>
    </row>
    <row r="228">
      <c r="D228" s="20"/>
      <c r="E228" s="20"/>
    </row>
    <row r="229">
      <c r="D229" s="20"/>
      <c r="E229" s="20"/>
    </row>
    <row r="230">
      <c r="D230" s="20"/>
      <c r="E230" s="20"/>
    </row>
    <row r="231">
      <c r="D231" s="20"/>
      <c r="E231" s="20"/>
    </row>
    <row r="232">
      <c r="D232" s="20"/>
      <c r="E232" s="20"/>
    </row>
    <row r="233">
      <c r="D233" s="20"/>
      <c r="E233" s="20"/>
    </row>
    <row r="234">
      <c r="D234" s="20"/>
      <c r="E234" s="20"/>
    </row>
    <row r="235">
      <c r="D235" s="20"/>
      <c r="E235" s="20"/>
    </row>
    <row r="236">
      <c r="D236" s="20"/>
      <c r="E236" s="20"/>
    </row>
    <row r="237">
      <c r="D237" s="20"/>
      <c r="E237" s="20"/>
    </row>
    <row r="238">
      <c r="D238" s="20"/>
      <c r="E238" s="20"/>
    </row>
    <row r="239">
      <c r="D239" s="20"/>
      <c r="E239" s="20"/>
    </row>
    <row r="240">
      <c r="D240" s="20"/>
      <c r="E240" s="20"/>
    </row>
    <row r="241">
      <c r="D241" s="20"/>
      <c r="E241" s="20"/>
    </row>
    <row r="242">
      <c r="D242" s="20"/>
      <c r="E242" s="20"/>
    </row>
    <row r="243">
      <c r="D243" s="20"/>
      <c r="E243" s="20"/>
    </row>
    <row r="244">
      <c r="D244" s="20"/>
      <c r="E244" s="20"/>
    </row>
    <row r="245">
      <c r="D245" s="20"/>
      <c r="E245" s="20"/>
    </row>
    <row r="246">
      <c r="D246" s="20"/>
      <c r="E246" s="20"/>
    </row>
    <row r="247">
      <c r="D247" s="20"/>
      <c r="E247" s="20"/>
    </row>
    <row r="248">
      <c r="D248" s="20"/>
      <c r="E248" s="20"/>
    </row>
    <row r="249">
      <c r="D249" s="20"/>
      <c r="E249" s="20"/>
    </row>
    <row r="250">
      <c r="D250" s="20"/>
      <c r="E250" s="20"/>
    </row>
    <row r="251">
      <c r="D251" s="20"/>
      <c r="E251" s="20"/>
    </row>
    <row r="252">
      <c r="D252" s="20"/>
      <c r="E252" s="20"/>
    </row>
    <row r="253">
      <c r="D253" s="20"/>
      <c r="E253" s="20"/>
    </row>
    <row r="254">
      <c r="D254" s="20"/>
      <c r="E254" s="20"/>
    </row>
    <row r="255">
      <c r="D255" s="20"/>
      <c r="E255" s="20"/>
    </row>
    <row r="256">
      <c r="D256" s="20"/>
      <c r="E256" s="20"/>
    </row>
    <row r="257">
      <c r="D257" s="20"/>
      <c r="E257" s="20"/>
    </row>
    <row r="258">
      <c r="D258" s="20"/>
      <c r="E258" s="20"/>
    </row>
    <row r="259">
      <c r="D259" s="20"/>
      <c r="E259" s="20"/>
    </row>
    <row r="260">
      <c r="D260" s="20"/>
      <c r="E260" s="20"/>
    </row>
    <row r="261">
      <c r="D261" s="20"/>
      <c r="E261" s="20"/>
    </row>
    <row r="262">
      <c r="D262" s="20"/>
      <c r="E262" s="20"/>
    </row>
    <row r="263">
      <c r="D263" s="20"/>
      <c r="E263" s="20"/>
    </row>
    <row r="264">
      <c r="D264" s="20"/>
      <c r="E264" s="20"/>
    </row>
    <row r="265">
      <c r="D265" s="20"/>
      <c r="E265" s="20"/>
    </row>
    <row r="266">
      <c r="D266" s="20"/>
      <c r="E266" s="20"/>
    </row>
    <row r="267">
      <c r="D267" s="20"/>
      <c r="E267" s="20"/>
    </row>
    <row r="268">
      <c r="D268" s="20"/>
      <c r="E268" s="20"/>
    </row>
    <row r="269">
      <c r="D269" s="20"/>
      <c r="E269" s="20"/>
    </row>
    <row r="270">
      <c r="D270" s="20"/>
      <c r="E270" s="20"/>
    </row>
    <row r="271">
      <c r="D271" s="20"/>
      <c r="E271" s="20"/>
    </row>
    <row r="272">
      <c r="D272" s="20"/>
      <c r="E272" s="20"/>
    </row>
    <row r="273">
      <c r="D273" s="20"/>
      <c r="E273" s="20"/>
    </row>
    <row r="274">
      <c r="D274" s="20"/>
      <c r="E274" s="20"/>
    </row>
    <row r="275">
      <c r="D275" s="20"/>
      <c r="E275" s="20"/>
    </row>
    <row r="276">
      <c r="D276" s="20"/>
      <c r="E276" s="20"/>
    </row>
    <row r="277">
      <c r="D277" s="20"/>
      <c r="E277" s="20"/>
    </row>
    <row r="278">
      <c r="D278" s="20"/>
      <c r="E278" s="20"/>
    </row>
    <row r="279">
      <c r="D279" s="20"/>
      <c r="E279" s="20"/>
    </row>
    <row r="280">
      <c r="D280" s="20"/>
      <c r="E280" s="20"/>
    </row>
    <row r="281">
      <c r="D281" s="20"/>
      <c r="E281" s="20"/>
    </row>
    <row r="282">
      <c r="D282" s="20"/>
      <c r="E282" s="20"/>
    </row>
    <row r="283">
      <c r="D283" s="20"/>
      <c r="E283" s="20"/>
    </row>
    <row r="284">
      <c r="D284" s="20"/>
      <c r="E284" s="20"/>
    </row>
    <row r="285">
      <c r="D285" s="20"/>
      <c r="E285" s="20"/>
    </row>
    <row r="286">
      <c r="D286" s="20"/>
      <c r="E286" s="20"/>
    </row>
    <row r="287">
      <c r="D287" s="20"/>
      <c r="E287" s="20"/>
    </row>
    <row r="288">
      <c r="D288" s="20"/>
      <c r="E288" s="20"/>
    </row>
    <row r="289">
      <c r="D289" s="20"/>
      <c r="E289" s="20"/>
    </row>
    <row r="290">
      <c r="D290" s="20"/>
      <c r="E290" s="20"/>
    </row>
    <row r="291">
      <c r="D291" s="20"/>
      <c r="E291" s="20"/>
    </row>
    <row r="292">
      <c r="D292" s="20"/>
      <c r="E292" s="20"/>
    </row>
    <row r="293">
      <c r="D293" s="20"/>
      <c r="E293" s="20"/>
    </row>
    <row r="294">
      <c r="D294" s="20"/>
      <c r="E294" s="20"/>
    </row>
    <row r="295">
      <c r="D295" s="20"/>
      <c r="E295" s="20"/>
    </row>
    <row r="296">
      <c r="D296" s="20"/>
      <c r="E296" s="20"/>
    </row>
    <row r="297">
      <c r="D297" s="20"/>
      <c r="E297" s="20"/>
    </row>
    <row r="298">
      <c r="D298" s="20"/>
      <c r="E298" s="20"/>
    </row>
    <row r="299">
      <c r="D299" s="20"/>
      <c r="E299" s="20"/>
    </row>
    <row r="300">
      <c r="D300" s="20"/>
      <c r="E300" s="20"/>
    </row>
    <row r="301">
      <c r="D301" s="20"/>
      <c r="E301" s="20"/>
    </row>
    <row r="302">
      <c r="D302" s="20"/>
      <c r="E302" s="20"/>
    </row>
    <row r="303">
      <c r="D303" s="20"/>
      <c r="E303" s="20"/>
    </row>
    <row r="304">
      <c r="D304" s="20"/>
      <c r="E304" s="20"/>
    </row>
    <row r="305">
      <c r="D305" s="20"/>
      <c r="E305" s="20"/>
    </row>
    <row r="306">
      <c r="D306" s="20"/>
      <c r="E306" s="20"/>
    </row>
    <row r="307">
      <c r="D307" s="20"/>
      <c r="E307" s="20"/>
    </row>
    <row r="308">
      <c r="D308" s="20"/>
      <c r="E308" s="20"/>
    </row>
    <row r="309">
      <c r="D309" s="20"/>
      <c r="E309" s="20"/>
    </row>
    <row r="310">
      <c r="D310" s="20"/>
      <c r="E310" s="20"/>
    </row>
    <row r="311">
      <c r="D311" s="20"/>
      <c r="E311" s="20"/>
    </row>
    <row r="312">
      <c r="D312" s="20"/>
      <c r="E312" s="20"/>
    </row>
    <row r="313">
      <c r="D313" s="20"/>
      <c r="E313" s="20"/>
    </row>
    <row r="314">
      <c r="D314" s="20"/>
      <c r="E314" s="20"/>
    </row>
    <row r="315">
      <c r="D315" s="20"/>
      <c r="E315" s="20"/>
    </row>
    <row r="316">
      <c r="D316" s="20"/>
      <c r="E316" s="20"/>
    </row>
    <row r="317">
      <c r="D317" s="20"/>
      <c r="E317" s="20"/>
    </row>
    <row r="318">
      <c r="D318" s="20"/>
      <c r="E318" s="20"/>
    </row>
    <row r="319">
      <c r="D319" s="20"/>
      <c r="E319" s="20"/>
    </row>
    <row r="320">
      <c r="D320" s="20"/>
      <c r="E320" s="20"/>
    </row>
    <row r="321">
      <c r="D321" s="20"/>
      <c r="E321" s="20"/>
    </row>
    <row r="322">
      <c r="D322" s="20"/>
      <c r="E322" s="20"/>
    </row>
    <row r="323">
      <c r="D323" s="20"/>
      <c r="E323" s="20"/>
    </row>
    <row r="324">
      <c r="D324" s="20"/>
      <c r="E324" s="20"/>
    </row>
    <row r="325">
      <c r="D325" s="20"/>
      <c r="E325" s="20"/>
    </row>
    <row r="326">
      <c r="D326" s="20"/>
      <c r="E326" s="20"/>
    </row>
    <row r="327">
      <c r="D327" s="20"/>
      <c r="E327" s="20"/>
    </row>
    <row r="328">
      <c r="D328" s="20"/>
      <c r="E328" s="20"/>
    </row>
    <row r="329">
      <c r="D329" s="20"/>
      <c r="E329" s="20"/>
    </row>
    <row r="330">
      <c r="D330" s="20"/>
      <c r="E330" s="20"/>
    </row>
    <row r="331">
      <c r="D331" s="20"/>
      <c r="E331" s="20"/>
    </row>
    <row r="332">
      <c r="D332" s="20"/>
      <c r="E332" s="20"/>
    </row>
    <row r="333">
      <c r="D333" s="20"/>
      <c r="E333" s="20"/>
    </row>
    <row r="334">
      <c r="D334" s="20"/>
      <c r="E334" s="20"/>
    </row>
    <row r="335">
      <c r="D335" s="20"/>
      <c r="E335" s="20"/>
    </row>
    <row r="336">
      <c r="D336" s="20"/>
      <c r="E336" s="20"/>
    </row>
    <row r="337">
      <c r="D337" s="20"/>
      <c r="E337" s="20"/>
    </row>
    <row r="338">
      <c r="D338" s="20"/>
      <c r="E338" s="20"/>
    </row>
    <row r="339">
      <c r="D339" s="20"/>
      <c r="E339" s="20"/>
    </row>
    <row r="340">
      <c r="D340" s="20"/>
      <c r="E340" s="20"/>
    </row>
    <row r="341">
      <c r="D341" s="20"/>
      <c r="E341" s="20"/>
    </row>
    <row r="342">
      <c r="D342" s="20"/>
      <c r="E342" s="20"/>
    </row>
    <row r="343">
      <c r="D343" s="20"/>
      <c r="E343" s="20"/>
    </row>
    <row r="344">
      <c r="D344" s="20"/>
      <c r="E344" s="20"/>
    </row>
    <row r="345">
      <c r="D345" s="20"/>
      <c r="E345" s="20"/>
    </row>
    <row r="346">
      <c r="D346" s="20"/>
      <c r="E346" s="20"/>
    </row>
    <row r="347">
      <c r="D347" s="20"/>
      <c r="E347" s="20"/>
    </row>
    <row r="348">
      <c r="D348" s="20"/>
      <c r="E348" s="20"/>
    </row>
    <row r="349">
      <c r="D349" s="20"/>
      <c r="E349" s="20"/>
    </row>
    <row r="350">
      <c r="D350" s="20"/>
      <c r="E350" s="20"/>
    </row>
    <row r="351">
      <c r="D351" s="20"/>
      <c r="E351" s="20"/>
    </row>
    <row r="352">
      <c r="D352" s="20"/>
      <c r="E352" s="20"/>
    </row>
    <row r="353">
      <c r="D353" s="20"/>
      <c r="E353" s="20"/>
    </row>
    <row r="354">
      <c r="D354" s="20"/>
      <c r="E354" s="20"/>
    </row>
    <row r="355">
      <c r="D355" s="20"/>
      <c r="E355" s="20"/>
    </row>
    <row r="356">
      <c r="D356" s="20"/>
      <c r="E356" s="20"/>
    </row>
    <row r="357">
      <c r="D357" s="20"/>
      <c r="E357" s="20"/>
    </row>
    <row r="358">
      <c r="D358" s="20"/>
      <c r="E358" s="20"/>
    </row>
    <row r="359">
      <c r="D359" s="20"/>
      <c r="E359" s="20"/>
    </row>
    <row r="360">
      <c r="D360" s="20"/>
      <c r="E360" s="20"/>
    </row>
    <row r="361">
      <c r="D361" s="20"/>
      <c r="E361" s="20"/>
    </row>
    <row r="362">
      <c r="D362" s="20"/>
      <c r="E362" s="20"/>
    </row>
    <row r="363">
      <c r="D363" s="20"/>
      <c r="E363" s="20"/>
    </row>
    <row r="364">
      <c r="D364" s="20"/>
      <c r="E364" s="20"/>
    </row>
    <row r="365">
      <c r="D365" s="20"/>
      <c r="E365" s="20"/>
    </row>
    <row r="366">
      <c r="D366" s="20"/>
      <c r="E366" s="20"/>
    </row>
    <row r="367">
      <c r="D367" s="20"/>
      <c r="E367" s="20"/>
    </row>
    <row r="368">
      <c r="D368" s="20"/>
      <c r="E368" s="20"/>
    </row>
    <row r="369">
      <c r="D369" s="20"/>
      <c r="E369" s="20"/>
    </row>
    <row r="370">
      <c r="D370" s="20"/>
      <c r="E370" s="20"/>
    </row>
    <row r="371">
      <c r="D371" s="20"/>
      <c r="E371" s="20"/>
    </row>
    <row r="372">
      <c r="D372" s="20"/>
      <c r="E372" s="20"/>
    </row>
    <row r="373">
      <c r="D373" s="20"/>
      <c r="E373" s="20"/>
    </row>
    <row r="374">
      <c r="D374" s="20"/>
      <c r="E374" s="20"/>
    </row>
    <row r="375">
      <c r="D375" s="20"/>
      <c r="E375" s="20"/>
    </row>
    <row r="376">
      <c r="D376" s="20"/>
      <c r="E376" s="20"/>
    </row>
    <row r="377">
      <c r="D377" s="20"/>
      <c r="E377" s="20"/>
    </row>
    <row r="378">
      <c r="D378" s="20"/>
      <c r="E378" s="20"/>
    </row>
    <row r="379">
      <c r="D379" s="20"/>
      <c r="E379" s="20"/>
    </row>
    <row r="380">
      <c r="D380" s="20"/>
      <c r="E380" s="20"/>
    </row>
    <row r="381">
      <c r="D381" s="20"/>
      <c r="E381" s="20"/>
    </row>
    <row r="382">
      <c r="D382" s="20"/>
      <c r="E382" s="20"/>
    </row>
    <row r="383">
      <c r="D383" s="20"/>
      <c r="E383" s="20"/>
    </row>
    <row r="384">
      <c r="D384" s="20"/>
      <c r="E384" s="20"/>
    </row>
    <row r="385">
      <c r="D385" s="20"/>
      <c r="E385" s="20"/>
    </row>
    <row r="386">
      <c r="D386" s="20"/>
      <c r="E386" s="20"/>
    </row>
    <row r="387">
      <c r="D387" s="20"/>
      <c r="E387" s="20"/>
    </row>
    <row r="388">
      <c r="D388" s="20"/>
      <c r="E388" s="20"/>
    </row>
    <row r="389">
      <c r="D389" s="20"/>
      <c r="E389" s="20"/>
    </row>
    <row r="390">
      <c r="D390" s="20"/>
      <c r="E390" s="20"/>
    </row>
    <row r="391">
      <c r="D391" s="20"/>
      <c r="E391" s="20"/>
    </row>
    <row r="392">
      <c r="D392" s="20"/>
      <c r="E392" s="20"/>
    </row>
    <row r="393">
      <c r="D393" s="20"/>
      <c r="E393" s="20"/>
    </row>
    <row r="394">
      <c r="D394" s="20"/>
      <c r="E394" s="20"/>
    </row>
    <row r="395">
      <c r="D395" s="20"/>
      <c r="E395" s="20"/>
    </row>
    <row r="396">
      <c r="D396" s="20"/>
      <c r="E396" s="20"/>
    </row>
    <row r="397">
      <c r="D397" s="20"/>
      <c r="E397" s="20"/>
    </row>
    <row r="398">
      <c r="D398" s="20"/>
      <c r="E398" s="20"/>
    </row>
    <row r="399">
      <c r="D399" s="20"/>
      <c r="E399" s="20"/>
    </row>
    <row r="400">
      <c r="D400" s="20"/>
      <c r="E400" s="20"/>
    </row>
    <row r="401">
      <c r="D401" s="20"/>
      <c r="E401" s="20"/>
    </row>
    <row r="402">
      <c r="D402" s="20"/>
      <c r="E402" s="20"/>
    </row>
    <row r="403">
      <c r="D403" s="20"/>
      <c r="E403" s="20"/>
    </row>
    <row r="404">
      <c r="D404" s="20"/>
      <c r="E404" s="20"/>
    </row>
    <row r="405">
      <c r="D405" s="20"/>
      <c r="E405" s="20"/>
    </row>
    <row r="406">
      <c r="D406" s="20"/>
      <c r="E406" s="20"/>
    </row>
    <row r="407">
      <c r="D407" s="20"/>
      <c r="E407" s="20"/>
    </row>
    <row r="408">
      <c r="D408" s="20"/>
      <c r="E408" s="20"/>
    </row>
    <row r="409">
      <c r="D409" s="20"/>
      <c r="E409" s="20"/>
    </row>
    <row r="410">
      <c r="D410" s="20"/>
      <c r="E410" s="20"/>
    </row>
    <row r="411">
      <c r="D411" s="20"/>
      <c r="E411" s="20"/>
    </row>
    <row r="412">
      <c r="D412" s="20"/>
      <c r="E412" s="20"/>
    </row>
    <row r="413">
      <c r="D413" s="20"/>
      <c r="E413" s="20"/>
    </row>
    <row r="414">
      <c r="D414" s="20"/>
      <c r="E414" s="20"/>
    </row>
    <row r="415">
      <c r="D415" s="20"/>
      <c r="E415" s="20"/>
    </row>
    <row r="416">
      <c r="D416" s="20"/>
      <c r="E416" s="20"/>
    </row>
    <row r="417">
      <c r="D417" s="20"/>
      <c r="E417" s="20"/>
    </row>
    <row r="418">
      <c r="D418" s="20"/>
      <c r="E418" s="20"/>
    </row>
    <row r="419">
      <c r="D419" s="20"/>
      <c r="E419" s="20"/>
    </row>
    <row r="420">
      <c r="D420" s="20"/>
      <c r="E420" s="20"/>
    </row>
    <row r="421">
      <c r="D421" s="20"/>
      <c r="E421" s="20"/>
    </row>
    <row r="422">
      <c r="D422" s="20"/>
      <c r="E422" s="20"/>
    </row>
    <row r="423">
      <c r="D423" s="20"/>
      <c r="E423" s="20"/>
    </row>
    <row r="424">
      <c r="D424" s="20"/>
      <c r="E424" s="20"/>
    </row>
    <row r="425">
      <c r="D425" s="20"/>
      <c r="E425" s="20"/>
    </row>
    <row r="426">
      <c r="D426" s="20"/>
      <c r="E426" s="20"/>
    </row>
    <row r="427">
      <c r="D427" s="20"/>
      <c r="E427" s="20"/>
    </row>
    <row r="428">
      <c r="D428" s="20"/>
      <c r="E428" s="20"/>
    </row>
    <row r="429">
      <c r="D429" s="20"/>
      <c r="E429" s="20"/>
    </row>
    <row r="430">
      <c r="D430" s="20"/>
      <c r="E430" s="20"/>
    </row>
    <row r="431">
      <c r="D431" s="20"/>
      <c r="E431" s="20"/>
    </row>
    <row r="432">
      <c r="D432" s="20"/>
      <c r="E432" s="20"/>
    </row>
    <row r="433">
      <c r="D433" s="20"/>
      <c r="E433" s="20"/>
    </row>
    <row r="434">
      <c r="D434" s="20"/>
      <c r="E434" s="20"/>
    </row>
    <row r="435">
      <c r="D435" s="20"/>
      <c r="E435" s="20"/>
    </row>
    <row r="436">
      <c r="D436" s="20"/>
      <c r="E436" s="20"/>
    </row>
    <row r="437">
      <c r="D437" s="20"/>
      <c r="E437" s="20"/>
    </row>
    <row r="438">
      <c r="D438" s="20"/>
      <c r="E438" s="20"/>
    </row>
    <row r="439">
      <c r="D439" s="20"/>
      <c r="E439" s="20"/>
    </row>
    <row r="440">
      <c r="D440" s="20"/>
      <c r="E440" s="20"/>
    </row>
    <row r="441">
      <c r="D441" s="20"/>
      <c r="E441" s="20"/>
    </row>
    <row r="442">
      <c r="D442" s="20"/>
      <c r="E442" s="20"/>
    </row>
    <row r="443">
      <c r="D443" s="20"/>
      <c r="E443" s="20"/>
    </row>
    <row r="444">
      <c r="D444" s="20"/>
      <c r="E444" s="20"/>
    </row>
    <row r="445">
      <c r="D445" s="20"/>
      <c r="E445" s="20"/>
    </row>
    <row r="446">
      <c r="D446" s="20"/>
      <c r="E446" s="20"/>
    </row>
    <row r="447">
      <c r="D447" s="20"/>
      <c r="E447" s="20"/>
    </row>
    <row r="448">
      <c r="D448" s="20"/>
      <c r="E448" s="20"/>
    </row>
    <row r="449">
      <c r="D449" s="20"/>
      <c r="E449" s="20"/>
    </row>
    <row r="450">
      <c r="D450" s="20"/>
      <c r="E450" s="20"/>
    </row>
    <row r="451">
      <c r="D451" s="20"/>
      <c r="E451" s="20"/>
    </row>
    <row r="452">
      <c r="D452" s="20"/>
      <c r="E452" s="20"/>
    </row>
    <row r="453">
      <c r="D453" s="20"/>
      <c r="E453" s="20"/>
    </row>
    <row r="454">
      <c r="D454" s="20"/>
      <c r="E454" s="20"/>
    </row>
    <row r="455">
      <c r="D455" s="20"/>
      <c r="E455" s="20"/>
    </row>
    <row r="456">
      <c r="D456" s="20"/>
      <c r="E456" s="20"/>
    </row>
    <row r="457">
      <c r="D457" s="20"/>
      <c r="E457" s="20"/>
    </row>
    <row r="458">
      <c r="D458" s="20"/>
      <c r="E458" s="20"/>
    </row>
    <row r="459">
      <c r="D459" s="20"/>
      <c r="E459" s="20"/>
    </row>
    <row r="460">
      <c r="D460" s="20"/>
      <c r="E460" s="20"/>
    </row>
    <row r="461">
      <c r="D461" s="20"/>
      <c r="E461" s="20"/>
    </row>
    <row r="462">
      <c r="D462" s="20"/>
      <c r="E462" s="20"/>
    </row>
    <row r="463">
      <c r="D463" s="20"/>
      <c r="E463" s="20"/>
    </row>
    <row r="464">
      <c r="D464" s="20"/>
      <c r="E464" s="20"/>
    </row>
    <row r="465">
      <c r="D465" s="20"/>
      <c r="E465" s="20"/>
    </row>
    <row r="466">
      <c r="D466" s="20"/>
      <c r="E466" s="20"/>
    </row>
    <row r="467">
      <c r="D467" s="20"/>
      <c r="E467" s="20"/>
    </row>
    <row r="468">
      <c r="D468" s="20"/>
      <c r="E468" s="20"/>
    </row>
    <row r="469">
      <c r="D469" s="20"/>
      <c r="E469" s="20"/>
    </row>
    <row r="470">
      <c r="D470" s="20"/>
      <c r="E470" s="20"/>
    </row>
    <row r="471">
      <c r="D471" s="20"/>
      <c r="E471" s="20"/>
    </row>
    <row r="472">
      <c r="D472" s="20"/>
      <c r="E472" s="20"/>
    </row>
    <row r="473">
      <c r="D473" s="20"/>
      <c r="E473" s="20"/>
    </row>
    <row r="474">
      <c r="D474" s="20"/>
      <c r="E474" s="20"/>
    </row>
    <row r="475">
      <c r="D475" s="20"/>
      <c r="E475" s="20"/>
    </row>
    <row r="476">
      <c r="D476" s="20"/>
      <c r="E476" s="20"/>
    </row>
    <row r="477">
      <c r="D477" s="20"/>
      <c r="E477" s="20"/>
    </row>
    <row r="478">
      <c r="D478" s="20"/>
      <c r="E478" s="20"/>
    </row>
    <row r="479">
      <c r="D479" s="20"/>
      <c r="E479" s="20"/>
    </row>
    <row r="480">
      <c r="D480" s="20"/>
      <c r="E480" s="20"/>
    </row>
    <row r="481">
      <c r="D481" s="20"/>
      <c r="E481" s="20"/>
    </row>
    <row r="482">
      <c r="D482" s="20"/>
      <c r="E482" s="20"/>
    </row>
    <row r="483">
      <c r="D483" s="20"/>
      <c r="E483" s="20"/>
    </row>
    <row r="484">
      <c r="D484" s="20"/>
      <c r="E484" s="20"/>
    </row>
    <row r="485">
      <c r="D485" s="20"/>
      <c r="E485" s="20"/>
    </row>
    <row r="486">
      <c r="D486" s="20"/>
      <c r="E486" s="20"/>
    </row>
    <row r="487">
      <c r="D487" s="20"/>
      <c r="E487" s="20"/>
    </row>
    <row r="488">
      <c r="D488" s="20"/>
      <c r="E488" s="20"/>
    </row>
    <row r="489">
      <c r="D489" s="20"/>
      <c r="E489" s="20"/>
    </row>
    <row r="490">
      <c r="D490" s="20"/>
      <c r="E490" s="20"/>
    </row>
    <row r="491">
      <c r="D491" s="20"/>
      <c r="E491" s="20"/>
    </row>
    <row r="492">
      <c r="D492" s="20"/>
      <c r="E492" s="20"/>
    </row>
    <row r="493">
      <c r="D493" s="20"/>
      <c r="E493" s="20"/>
    </row>
    <row r="494">
      <c r="D494" s="20"/>
      <c r="E494" s="20"/>
    </row>
    <row r="495">
      <c r="D495" s="20"/>
      <c r="E495" s="20"/>
    </row>
    <row r="496">
      <c r="D496" s="20"/>
      <c r="E496" s="20"/>
    </row>
    <row r="497">
      <c r="D497" s="20"/>
      <c r="E497" s="20"/>
    </row>
    <row r="498">
      <c r="D498" s="20"/>
      <c r="E498" s="20"/>
    </row>
    <row r="499">
      <c r="D499" s="20"/>
      <c r="E499" s="20"/>
    </row>
    <row r="500">
      <c r="D500" s="20"/>
      <c r="E500" s="20"/>
    </row>
    <row r="501">
      <c r="D501" s="20"/>
      <c r="E501" s="20"/>
    </row>
    <row r="502">
      <c r="D502" s="20"/>
      <c r="E502" s="20"/>
    </row>
    <row r="503">
      <c r="D503" s="20"/>
      <c r="E503" s="20"/>
    </row>
    <row r="504">
      <c r="D504" s="20"/>
      <c r="E504" s="20"/>
    </row>
    <row r="505">
      <c r="D505" s="20"/>
      <c r="E505" s="20"/>
    </row>
    <row r="506">
      <c r="D506" s="20"/>
      <c r="E506" s="20"/>
    </row>
    <row r="507">
      <c r="D507" s="20"/>
      <c r="E507" s="20"/>
    </row>
    <row r="508">
      <c r="D508" s="20"/>
      <c r="E508" s="20"/>
    </row>
    <row r="509">
      <c r="D509" s="20"/>
      <c r="E509" s="20"/>
    </row>
    <row r="510">
      <c r="D510" s="20"/>
      <c r="E510" s="20"/>
    </row>
    <row r="511">
      <c r="D511" s="20"/>
      <c r="E511" s="20"/>
    </row>
    <row r="512">
      <c r="D512" s="20"/>
      <c r="E512" s="20"/>
    </row>
    <row r="513">
      <c r="D513" s="20"/>
      <c r="E513" s="20"/>
    </row>
    <row r="514">
      <c r="D514" s="20"/>
      <c r="E514" s="20"/>
    </row>
    <row r="515">
      <c r="D515" s="20"/>
      <c r="E515" s="20"/>
    </row>
    <row r="516">
      <c r="D516" s="20"/>
      <c r="E516" s="20"/>
    </row>
    <row r="517">
      <c r="D517" s="20"/>
      <c r="E517" s="20"/>
    </row>
    <row r="518">
      <c r="D518" s="20"/>
      <c r="E518" s="20"/>
    </row>
    <row r="519">
      <c r="D519" s="20"/>
      <c r="E519" s="20"/>
    </row>
    <row r="520">
      <c r="D520" s="20"/>
      <c r="E520" s="20"/>
    </row>
    <row r="521">
      <c r="D521" s="20"/>
      <c r="E521" s="20"/>
    </row>
    <row r="522">
      <c r="D522" s="20"/>
      <c r="E522" s="20"/>
    </row>
    <row r="523">
      <c r="D523" s="20"/>
      <c r="E523" s="20"/>
    </row>
    <row r="524">
      <c r="D524" s="20"/>
      <c r="E524" s="20"/>
    </row>
    <row r="525">
      <c r="D525" s="20"/>
      <c r="E525" s="20"/>
    </row>
    <row r="526">
      <c r="D526" s="20"/>
      <c r="E526" s="20"/>
    </row>
    <row r="527">
      <c r="D527" s="20"/>
      <c r="E527" s="20"/>
    </row>
    <row r="528">
      <c r="D528" s="20"/>
      <c r="E528" s="20"/>
    </row>
    <row r="529">
      <c r="D529" s="20"/>
      <c r="E529" s="20"/>
    </row>
    <row r="530">
      <c r="D530" s="20"/>
      <c r="E530" s="20"/>
    </row>
    <row r="531">
      <c r="D531" s="20"/>
      <c r="E531" s="20"/>
    </row>
    <row r="532">
      <c r="D532" s="20"/>
      <c r="E532" s="20"/>
    </row>
    <row r="533">
      <c r="D533" s="20"/>
      <c r="E533" s="20"/>
    </row>
    <row r="534">
      <c r="D534" s="20"/>
      <c r="E534" s="20"/>
    </row>
    <row r="535">
      <c r="D535" s="20"/>
      <c r="E535" s="20"/>
    </row>
    <row r="536">
      <c r="D536" s="20"/>
      <c r="E536" s="20"/>
    </row>
    <row r="537">
      <c r="D537" s="20"/>
      <c r="E537" s="20"/>
    </row>
    <row r="538">
      <c r="D538" s="20"/>
      <c r="E538" s="20"/>
    </row>
    <row r="539">
      <c r="D539" s="20"/>
      <c r="E539" s="20"/>
    </row>
    <row r="540">
      <c r="D540" s="20"/>
      <c r="E540" s="20"/>
    </row>
    <row r="541">
      <c r="D541" s="20"/>
      <c r="E541" s="20"/>
    </row>
    <row r="542">
      <c r="D542" s="20"/>
      <c r="E542" s="20"/>
    </row>
    <row r="543">
      <c r="D543" s="20"/>
      <c r="E543" s="20"/>
    </row>
    <row r="544">
      <c r="D544" s="20"/>
      <c r="E544" s="20"/>
    </row>
    <row r="545">
      <c r="D545" s="20"/>
      <c r="E545" s="20"/>
    </row>
    <row r="546">
      <c r="D546" s="20"/>
      <c r="E546" s="20"/>
    </row>
    <row r="547">
      <c r="D547" s="20"/>
      <c r="E547" s="20"/>
    </row>
    <row r="548">
      <c r="D548" s="20"/>
      <c r="E548" s="20"/>
    </row>
    <row r="549">
      <c r="D549" s="20"/>
      <c r="E549" s="20"/>
    </row>
    <row r="550">
      <c r="D550" s="20"/>
      <c r="E550" s="20"/>
    </row>
    <row r="551">
      <c r="D551" s="20"/>
      <c r="E551" s="20"/>
    </row>
    <row r="552">
      <c r="D552" s="20"/>
      <c r="E552" s="20"/>
    </row>
    <row r="553">
      <c r="D553" s="20"/>
      <c r="E553" s="20"/>
    </row>
    <row r="554">
      <c r="D554" s="20"/>
      <c r="E554" s="20"/>
    </row>
    <row r="555">
      <c r="D555" s="20"/>
      <c r="E555" s="20"/>
    </row>
    <row r="556">
      <c r="D556" s="20"/>
      <c r="E556" s="20"/>
    </row>
    <row r="557">
      <c r="D557" s="20"/>
      <c r="E557" s="20"/>
    </row>
    <row r="558">
      <c r="D558" s="20"/>
      <c r="E558" s="20"/>
    </row>
    <row r="559">
      <c r="D559" s="20"/>
      <c r="E559" s="20"/>
    </row>
    <row r="560">
      <c r="D560" s="20"/>
      <c r="E560" s="20"/>
    </row>
    <row r="561">
      <c r="D561" s="20"/>
      <c r="E561" s="20"/>
    </row>
    <row r="562">
      <c r="D562" s="20"/>
      <c r="E562" s="20"/>
    </row>
    <row r="563">
      <c r="D563" s="20"/>
      <c r="E563" s="20"/>
    </row>
    <row r="564">
      <c r="D564" s="20"/>
      <c r="E564" s="20"/>
    </row>
    <row r="565">
      <c r="D565" s="20"/>
      <c r="E565" s="20"/>
    </row>
    <row r="566">
      <c r="D566" s="20"/>
      <c r="E566" s="20"/>
    </row>
    <row r="567">
      <c r="D567" s="20"/>
      <c r="E567" s="20"/>
    </row>
    <row r="568">
      <c r="D568" s="20"/>
      <c r="E568" s="20"/>
    </row>
    <row r="569">
      <c r="D569" s="20"/>
      <c r="E569" s="20"/>
    </row>
    <row r="570">
      <c r="D570" s="20"/>
      <c r="E570" s="20"/>
    </row>
    <row r="571">
      <c r="D571" s="20"/>
      <c r="E571" s="20"/>
    </row>
    <row r="572">
      <c r="D572" s="20"/>
      <c r="E572" s="20"/>
    </row>
    <row r="573">
      <c r="D573" s="20"/>
      <c r="E573" s="20"/>
    </row>
    <row r="574">
      <c r="D574" s="20"/>
      <c r="E574" s="20"/>
    </row>
    <row r="575">
      <c r="D575" s="20"/>
      <c r="E575" s="20"/>
    </row>
    <row r="576">
      <c r="D576" s="20"/>
      <c r="E576" s="20"/>
    </row>
    <row r="577">
      <c r="D577" s="20"/>
      <c r="E577" s="20"/>
    </row>
    <row r="578">
      <c r="D578" s="20"/>
      <c r="E578" s="20"/>
    </row>
    <row r="579">
      <c r="D579" s="20"/>
      <c r="E579" s="20"/>
    </row>
    <row r="580">
      <c r="D580" s="20"/>
      <c r="E580" s="20"/>
    </row>
    <row r="581">
      <c r="D581" s="20"/>
      <c r="E581" s="20"/>
    </row>
    <row r="582">
      <c r="D582" s="20"/>
      <c r="E582" s="20"/>
    </row>
    <row r="583">
      <c r="D583" s="20"/>
      <c r="E583" s="20"/>
    </row>
    <row r="584">
      <c r="D584" s="20"/>
      <c r="E584" s="20"/>
    </row>
    <row r="585">
      <c r="D585" s="20"/>
      <c r="E585" s="20"/>
    </row>
    <row r="586">
      <c r="D586" s="20"/>
      <c r="E586" s="20"/>
    </row>
    <row r="587">
      <c r="D587" s="20"/>
      <c r="E587" s="20"/>
    </row>
    <row r="588">
      <c r="D588" s="20"/>
      <c r="E588" s="20"/>
    </row>
    <row r="589">
      <c r="D589" s="20"/>
      <c r="E589" s="20"/>
    </row>
    <row r="590">
      <c r="D590" s="20"/>
      <c r="E590" s="20"/>
    </row>
    <row r="591">
      <c r="D591" s="20"/>
      <c r="E591" s="20"/>
    </row>
    <row r="592">
      <c r="D592" s="20"/>
      <c r="E592" s="20"/>
    </row>
    <row r="593">
      <c r="D593" s="20"/>
      <c r="E593" s="20"/>
    </row>
    <row r="594">
      <c r="D594" s="20"/>
      <c r="E594" s="20"/>
    </row>
    <row r="595">
      <c r="D595" s="20"/>
      <c r="E595" s="20"/>
    </row>
    <row r="596">
      <c r="D596" s="20"/>
      <c r="E596" s="20"/>
    </row>
    <row r="597">
      <c r="D597" s="20"/>
      <c r="E597" s="20"/>
    </row>
    <row r="598">
      <c r="D598" s="20"/>
      <c r="E598" s="20"/>
    </row>
    <row r="599">
      <c r="D599" s="20"/>
      <c r="E599" s="20"/>
    </row>
    <row r="600">
      <c r="D600" s="20"/>
      <c r="E600" s="20"/>
    </row>
    <row r="601">
      <c r="D601" s="20"/>
      <c r="E601" s="20"/>
    </row>
    <row r="602">
      <c r="D602" s="20"/>
      <c r="E602" s="20"/>
    </row>
    <row r="603">
      <c r="D603" s="20"/>
      <c r="E603" s="20"/>
    </row>
    <row r="604">
      <c r="D604" s="20"/>
      <c r="E604" s="20"/>
    </row>
    <row r="605">
      <c r="D605" s="20"/>
      <c r="E605" s="20"/>
    </row>
    <row r="606">
      <c r="D606" s="20"/>
      <c r="E606" s="20"/>
    </row>
    <row r="607">
      <c r="D607" s="20"/>
      <c r="E607" s="20"/>
    </row>
    <row r="608">
      <c r="D608" s="20"/>
      <c r="E608" s="20"/>
    </row>
    <row r="609">
      <c r="D609" s="20"/>
      <c r="E609" s="20"/>
    </row>
    <row r="610">
      <c r="D610" s="20"/>
      <c r="E610" s="20"/>
    </row>
    <row r="611">
      <c r="D611" s="20"/>
      <c r="E611" s="20"/>
    </row>
    <row r="612">
      <c r="D612" s="20"/>
      <c r="E612" s="20"/>
    </row>
    <row r="613">
      <c r="D613" s="20"/>
      <c r="E613" s="20"/>
    </row>
    <row r="614">
      <c r="D614" s="20"/>
      <c r="E614" s="20"/>
    </row>
    <row r="615">
      <c r="D615" s="20"/>
      <c r="E615" s="20"/>
    </row>
    <row r="616">
      <c r="D616" s="20"/>
      <c r="E616" s="20"/>
    </row>
    <row r="617">
      <c r="D617" s="20"/>
      <c r="E617" s="20"/>
    </row>
    <row r="618">
      <c r="D618" s="20"/>
      <c r="E618" s="20"/>
    </row>
    <row r="619">
      <c r="D619" s="20"/>
      <c r="E619" s="20"/>
    </row>
    <row r="620">
      <c r="D620" s="20"/>
      <c r="E620" s="20"/>
    </row>
    <row r="621">
      <c r="D621" s="20"/>
      <c r="E621" s="20"/>
    </row>
    <row r="622">
      <c r="D622" s="20"/>
      <c r="E622" s="20"/>
    </row>
    <row r="623">
      <c r="D623" s="20"/>
      <c r="E623" s="20"/>
    </row>
    <row r="624">
      <c r="D624" s="20"/>
      <c r="E624" s="20"/>
    </row>
    <row r="625">
      <c r="D625" s="20"/>
      <c r="E625" s="20"/>
    </row>
    <row r="626">
      <c r="D626" s="20"/>
      <c r="E626" s="20"/>
    </row>
    <row r="627">
      <c r="D627" s="20"/>
      <c r="E627" s="20"/>
    </row>
    <row r="628">
      <c r="D628" s="20"/>
      <c r="E628" s="20"/>
    </row>
    <row r="629">
      <c r="D629" s="20"/>
      <c r="E629" s="20"/>
    </row>
    <row r="630">
      <c r="D630" s="20"/>
      <c r="E630" s="20"/>
    </row>
    <row r="631">
      <c r="D631" s="20"/>
      <c r="E631" s="20"/>
    </row>
    <row r="632">
      <c r="D632" s="20"/>
      <c r="E632" s="20"/>
    </row>
    <row r="633">
      <c r="D633" s="20"/>
      <c r="E633" s="20"/>
    </row>
    <row r="634">
      <c r="D634" s="20"/>
      <c r="E634" s="20"/>
    </row>
    <row r="635">
      <c r="D635" s="20"/>
      <c r="E635" s="20"/>
    </row>
    <row r="636">
      <c r="D636" s="20"/>
      <c r="E636" s="20"/>
    </row>
    <row r="637">
      <c r="D637" s="20"/>
      <c r="E637" s="20"/>
    </row>
    <row r="638">
      <c r="D638" s="20"/>
      <c r="E638" s="20"/>
    </row>
    <row r="639">
      <c r="D639" s="20"/>
      <c r="E639" s="20"/>
    </row>
    <row r="640">
      <c r="D640" s="20"/>
      <c r="E640" s="20"/>
    </row>
    <row r="641">
      <c r="D641" s="20"/>
      <c r="E641" s="20"/>
    </row>
    <row r="642">
      <c r="D642" s="20"/>
      <c r="E642" s="20"/>
    </row>
    <row r="643">
      <c r="D643" s="20"/>
      <c r="E643" s="20"/>
    </row>
    <row r="644">
      <c r="D644" s="20"/>
      <c r="E644" s="20"/>
    </row>
    <row r="645">
      <c r="D645" s="20"/>
      <c r="E645" s="20"/>
    </row>
    <row r="646">
      <c r="D646" s="20"/>
      <c r="E646" s="20"/>
    </row>
    <row r="647">
      <c r="D647" s="20"/>
      <c r="E647" s="20"/>
    </row>
    <row r="648">
      <c r="D648" s="20"/>
      <c r="E648" s="20"/>
    </row>
    <row r="649">
      <c r="D649" s="20"/>
      <c r="E649" s="20"/>
    </row>
    <row r="650">
      <c r="D650" s="20"/>
      <c r="E650" s="20"/>
    </row>
    <row r="651">
      <c r="D651" s="20"/>
      <c r="E651" s="20"/>
    </row>
    <row r="652">
      <c r="D652" s="20"/>
      <c r="E652" s="20"/>
    </row>
    <row r="653">
      <c r="D653" s="20"/>
      <c r="E653" s="20"/>
    </row>
    <row r="654">
      <c r="D654" s="20"/>
      <c r="E654" s="20"/>
    </row>
    <row r="655">
      <c r="D655" s="20"/>
      <c r="E655" s="20"/>
    </row>
    <row r="656">
      <c r="D656" s="20"/>
      <c r="E656" s="20"/>
    </row>
    <row r="657">
      <c r="D657" s="20"/>
      <c r="E657" s="20"/>
    </row>
    <row r="658">
      <c r="D658" s="20"/>
      <c r="E658" s="20"/>
    </row>
    <row r="659">
      <c r="D659" s="20"/>
      <c r="E659" s="20"/>
    </row>
    <row r="660">
      <c r="D660" s="20"/>
      <c r="E660" s="20"/>
    </row>
    <row r="661">
      <c r="D661" s="20"/>
      <c r="E661" s="20"/>
    </row>
    <row r="662">
      <c r="D662" s="20"/>
      <c r="E662" s="20"/>
    </row>
    <row r="663">
      <c r="D663" s="20"/>
      <c r="E663" s="20"/>
    </row>
    <row r="664">
      <c r="D664" s="20"/>
      <c r="E664" s="20"/>
    </row>
    <row r="665">
      <c r="D665" s="20"/>
      <c r="E665" s="20"/>
    </row>
    <row r="666">
      <c r="D666" s="20"/>
      <c r="E666" s="20"/>
    </row>
    <row r="667">
      <c r="D667" s="20"/>
      <c r="E667" s="20"/>
    </row>
    <row r="668">
      <c r="D668" s="20"/>
      <c r="E668" s="20"/>
    </row>
    <row r="669">
      <c r="D669" s="20"/>
      <c r="E669" s="20"/>
    </row>
    <row r="670">
      <c r="D670" s="20"/>
      <c r="E670" s="20"/>
    </row>
    <row r="671">
      <c r="D671" s="20"/>
      <c r="E671" s="20"/>
    </row>
    <row r="672">
      <c r="D672" s="20"/>
      <c r="E672" s="20"/>
    </row>
    <row r="673">
      <c r="D673" s="20"/>
      <c r="E673" s="20"/>
    </row>
    <row r="674">
      <c r="D674" s="20"/>
      <c r="E674" s="20"/>
    </row>
    <row r="675">
      <c r="D675" s="20"/>
      <c r="E675" s="20"/>
    </row>
    <row r="676">
      <c r="D676" s="20"/>
      <c r="E676" s="20"/>
    </row>
    <row r="677">
      <c r="D677" s="20"/>
      <c r="E677" s="20"/>
    </row>
    <row r="678">
      <c r="D678" s="20"/>
      <c r="E678" s="20"/>
    </row>
    <row r="679">
      <c r="D679" s="20"/>
      <c r="E679" s="20"/>
    </row>
    <row r="680">
      <c r="D680" s="20"/>
      <c r="E680" s="20"/>
    </row>
    <row r="681">
      <c r="D681" s="20"/>
      <c r="E681" s="20"/>
    </row>
    <row r="682">
      <c r="D682" s="20"/>
      <c r="E682" s="20"/>
    </row>
    <row r="683">
      <c r="D683" s="20"/>
      <c r="E683" s="20"/>
    </row>
    <row r="684">
      <c r="D684" s="20"/>
      <c r="E684" s="20"/>
    </row>
    <row r="685">
      <c r="D685" s="20"/>
      <c r="E685" s="20"/>
    </row>
    <row r="686">
      <c r="D686" s="20"/>
      <c r="E686" s="20"/>
    </row>
    <row r="687">
      <c r="D687" s="20"/>
      <c r="E687" s="20"/>
    </row>
    <row r="688">
      <c r="D688" s="20"/>
      <c r="E688" s="20"/>
    </row>
    <row r="689">
      <c r="D689" s="20"/>
      <c r="E689" s="20"/>
    </row>
    <row r="690">
      <c r="D690" s="20"/>
      <c r="E690" s="20"/>
    </row>
    <row r="691">
      <c r="D691" s="20"/>
      <c r="E691" s="20"/>
    </row>
    <row r="692">
      <c r="D692" s="20"/>
      <c r="E692" s="20"/>
    </row>
    <row r="693">
      <c r="D693" s="20"/>
      <c r="E693" s="20"/>
    </row>
    <row r="694">
      <c r="D694" s="20"/>
      <c r="E694" s="20"/>
    </row>
    <row r="695">
      <c r="D695" s="20"/>
      <c r="E695" s="20"/>
    </row>
    <row r="696">
      <c r="D696" s="20"/>
      <c r="E696" s="20"/>
    </row>
    <row r="697">
      <c r="D697" s="20"/>
      <c r="E697" s="20"/>
    </row>
    <row r="698">
      <c r="D698" s="20"/>
      <c r="E698" s="20"/>
    </row>
    <row r="699">
      <c r="D699" s="20"/>
      <c r="E699" s="20"/>
    </row>
    <row r="700">
      <c r="D700" s="20"/>
      <c r="E700" s="20"/>
    </row>
    <row r="701">
      <c r="D701" s="20"/>
      <c r="E701" s="20"/>
    </row>
    <row r="702">
      <c r="D702" s="20"/>
      <c r="E702" s="20"/>
    </row>
    <row r="703">
      <c r="D703" s="20"/>
      <c r="E703" s="20"/>
    </row>
    <row r="704">
      <c r="D704" s="20"/>
      <c r="E704" s="20"/>
    </row>
    <row r="705">
      <c r="D705" s="20"/>
      <c r="E705" s="20"/>
    </row>
    <row r="706">
      <c r="D706" s="20"/>
      <c r="E706" s="20"/>
    </row>
    <row r="707">
      <c r="D707" s="20"/>
      <c r="E707" s="20"/>
    </row>
    <row r="708">
      <c r="D708" s="20"/>
      <c r="E708" s="20"/>
    </row>
    <row r="709">
      <c r="D709" s="20"/>
      <c r="E709" s="20"/>
    </row>
    <row r="710">
      <c r="D710" s="20"/>
      <c r="E710" s="20"/>
    </row>
    <row r="711">
      <c r="D711" s="20"/>
      <c r="E711" s="20"/>
    </row>
    <row r="712">
      <c r="D712" s="20"/>
      <c r="E712" s="20"/>
    </row>
    <row r="713">
      <c r="D713" s="20"/>
      <c r="E713" s="20"/>
    </row>
    <row r="714">
      <c r="D714" s="20"/>
      <c r="E714" s="20"/>
    </row>
    <row r="715">
      <c r="D715" s="20"/>
      <c r="E715" s="20"/>
    </row>
    <row r="716">
      <c r="D716" s="20"/>
      <c r="E716" s="20"/>
    </row>
    <row r="717">
      <c r="D717" s="20"/>
      <c r="E717" s="20"/>
    </row>
    <row r="718">
      <c r="D718" s="20"/>
      <c r="E718" s="20"/>
    </row>
    <row r="719">
      <c r="D719" s="20"/>
      <c r="E719" s="20"/>
    </row>
    <row r="720">
      <c r="D720" s="20"/>
      <c r="E720" s="20"/>
    </row>
    <row r="721">
      <c r="D721" s="20"/>
      <c r="E721" s="20"/>
    </row>
    <row r="722">
      <c r="D722" s="20"/>
      <c r="E722" s="20"/>
    </row>
    <row r="723">
      <c r="D723" s="20"/>
      <c r="E723" s="20"/>
    </row>
    <row r="724">
      <c r="D724" s="20"/>
      <c r="E724" s="20"/>
    </row>
    <row r="725">
      <c r="D725" s="20"/>
      <c r="E725" s="20"/>
    </row>
    <row r="726">
      <c r="D726" s="20"/>
      <c r="E726" s="20"/>
    </row>
    <row r="727">
      <c r="D727" s="20"/>
      <c r="E727" s="20"/>
    </row>
    <row r="728">
      <c r="D728" s="20"/>
      <c r="E728" s="20"/>
    </row>
    <row r="729">
      <c r="D729" s="20"/>
      <c r="E729" s="20"/>
    </row>
    <row r="730">
      <c r="D730" s="20"/>
      <c r="E730" s="20"/>
    </row>
    <row r="731">
      <c r="D731" s="20"/>
      <c r="E731" s="20"/>
    </row>
    <row r="732">
      <c r="D732" s="20"/>
      <c r="E732" s="20"/>
    </row>
    <row r="733">
      <c r="D733" s="20"/>
      <c r="E733" s="20"/>
    </row>
    <row r="734">
      <c r="D734" s="20"/>
      <c r="E734" s="20"/>
    </row>
    <row r="735">
      <c r="D735" s="20"/>
      <c r="E735" s="20"/>
    </row>
    <row r="736">
      <c r="D736" s="20"/>
      <c r="E736" s="20"/>
    </row>
    <row r="737">
      <c r="D737" s="20"/>
      <c r="E737" s="20"/>
    </row>
    <row r="738">
      <c r="D738" s="20"/>
      <c r="E738" s="20"/>
    </row>
    <row r="739">
      <c r="D739" s="20"/>
      <c r="E739" s="20"/>
    </row>
    <row r="740">
      <c r="D740" s="20"/>
      <c r="E740" s="20"/>
    </row>
    <row r="741">
      <c r="D741" s="20"/>
      <c r="E741" s="20"/>
    </row>
    <row r="742">
      <c r="D742" s="20"/>
      <c r="E742" s="20"/>
    </row>
    <row r="743">
      <c r="D743" s="20"/>
      <c r="E743" s="20"/>
    </row>
    <row r="744">
      <c r="D744" s="20"/>
      <c r="E744" s="20"/>
    </row>
    <row r="745">
      <c r="D745" s="20"/>
      <c r="E745" s="20"/>
    </row>
    <row r="746">
      <c r="D746" s="20"/>
      <c r="E746" s="20"/>
    </row>
    <row r="747">
      <c r="D747" s="20"/>
      <c r="E747" s="20"/>
    </row>
    <row r="748">
      <c r="D748" s="20"/>
      <c r="E748" s="20"/>
    </row>
    <row r="749">
      <c r="D749" s="20"/>
      <c r="E749" s="20"/>
    </row>
    <row r="750">
      <c r="D750" s="20"/>
      <c r="E750" s="20"/>
    </row>
    <row r="751">
      <c r="D751" s="20"/>
      <c r="E751" s="20"/>
    </row>
    <row r="752">
      <c r="D752" s="20"/>
      <c r="E752" s="20"/>
    </row>
    <row r="753">
      <c r="D753" s="20"/>
      <c r="E753" s="20"/>
    </row>
    <row r="754">
      <c r="D754" s="20"/>
      <c r="E754" s="20"/>
    </row>
    <row r="755">
      <c r="D755" s="20"/>
      <c r="E755" s="20"/>
    </row>
    <row r="756">
      <c r="D756" s="20"/>
      <c r="E756" s="20"/>
    </row>
    <row r="757">
      <c r="D757" s="20"/>
      <c r="E757" s="20"/>
    </row>
    <row r="758">
      <c r="D758" s="20"/>
      <c r="E758" s="20"/>
    </row>
    <row r="759">
      <c r="D759" s="20"/>
      <c r="E759" s="20"/>
    </row>
    <row r="760">
      <c r="D760" s="20"/>
      <c r="E760" s="20"/>
    </row>
    <row r="761">
      <c r="D761" s="20"/>
      <c r="E761" s="20"/>
    </row>
    <row r="762">
      <c r="D762" s="20"/>
      <c r="E762" s="20"/>
    </row>
    <row r="763">
      <c r="D763" s="20"/>
      <c r="E763" s="20"/>
    </row>
    <row r="764">
      <c r="D764" s="20"/>
      <c r="E764" s="20"/>
    </row>
    <row r="765">
      <c r="D765" s="20"/>
      <c r="E765" s="20"/>
    </row>
    <row r="766">
      <c r="D766" s="20"/>
      <c r="E766" s="20"/>
    </row>
    <row r="767">
      <c r="D767" s="20"/>
      <c r="E767" s="20"/>
    </row>
    <row r="768">
      <c r="D768" s="20"/>
      <c r="E768" s="20"/>
    </row>
    <row r="769">
      <c r="D769" s="20"/>
      <c r="E769" s="20"/>
    </row>
    <row r="770">
      <c r="D770" s="20"/>
      <c r="E770" s="20"/>
    </row>
    <row r="771">
      <c r="D771" s="20"/>
      <c r="E771" s="20"/>
    </row>
    <row r="772">
      <c r="D772" s="20"/>
      <c r="E772" s="20"/>
    </row>
    <row r="773">
      <c r="D773" s="20"/>
      <c r="E773" s="20"/>
    </row>
    <row r="774">
      <c r="D774" s="20"/>
      <c r="E774" s="20"/>
    </row>
    <row r="775">
      <c r="D775" s="20"/>
      <c r="E775" s="20"/>
    </row>
    <row r="776">
      <c r="D776" s="20"/>
      <c r="E776" s="20"/>
    </row>
    <row r="777">
      <c r="D777" s="20"/>
      <c r="E777" s="20"/>
    </row>
    <row r="778">
      <c r="D778" s="20"/>
      <c r="E778" s="20"/>
    </row>
    <row r="779">
      <c r="D779" s="20"/>
      <c r="E779" s="20"/>
    </row>
    <row r="780">
      <c r="D780" s="20"/>
      <c r="E780" s="20"/>
    </row>
    <row r="781">
      <c r="D781" s="20"/>
      <c r="E781" s="20"/>
    </row>
    <row r="782">
      <c r="D782" s="20"/>
      <c r="E782" s="20"/>
    </row>
    <row r="783">
      <c r="D783" s="20"/>
      <c r="E783" s="20"/>
    </row>
    <row r="784">
      <c r="D784" s="20"/>
      <c r="E784" s="20"/>
    </row>
    <row r="785">
      <c r="D785" s="20"/>
      <c r="E785" s="20"/>
    </row>
    <row r="786">
      <c r="D786" s="20"/>
      <c r="E786" s="20"/>
    </row>
    <row r="787">
      <c r="D787" s="20"/>
      <c r="E787" s="20"/>
    </row>
    <row r="788">
      <c r="D788" s="20"/>
      <c r="E788" s="20"/>
    </row>
    <row r="789">
      <c r="D789" s="20"/>
      <c r="E789" s="20"/>
    </row>
    <row r="790">
      <c r="D790" s="20"/>
      <c r="E790" s="20"/>
    </row>
    <row r="791">
      <c r="D791" s="20"/>
      <c r="E791" s="20"/>
    </row>
    <row r="792">
      <c r="D792" s="20"/>
      <c r="E792" s="20"/>
    </row>
    <row r="793">
      <c r="D793" s="20"/>
      <c r="E793" s="20"/>
    </row>
    <row r="794">
      <c r="D794" s="20"/>
      <c r="E794" s="20"/>
    </row>
    <row r="795">
      <c r="D795" s="20"/>
      <c r="E795" s="20"/>
    </row>
    <row r="796">
      <c r="D796" s="20"/>
      <c r="E796" s="20"/>
    </row>
    <row r="797">
      <c r="D797" s="20"/>
      <c r="E797" s="20"/>
    </row>
    <row r="798">
      <c r="D798" s="20"/>
      <c r="E798" s="20"/>
    </row>
    <row r="799">
      <c r="D799" s="20"/>
      <c r="E799" s="20"/>
    </row>
    <row r="800">
      <c r="D800" s="20"/>
      <c r="E800" s="20"/>
    </row>
    <row r="801">
      <c r="D801" s="20"/>
      <c r="E801" s="20"/>
    </row>
    <row r="802">
      <c r="D802" s="20"/>
      <c r="E802" s="20"/>
    </row>
    <row r="803">
      <c r="D803" s="20"/>
      <c r="E803" s="20"/>
    </row>
    <row r="804">
      <c r="D804" s="20"/>
      <c r="E804" s="20"/>
    </row>
    <row r="805">
      <c r="D805" s="20"/>
      <c r="E805" s="20"/>
    </row>
    <row r="806">
      <c r="D806" s="20"/>
      <c r="E806" s="20"/>
    </row>
    <row r="807">
      <c r="D807" s="20"/>
      <c r="E807" s="20"/>
    </row>
    <row r="808">
      <c r="D808" s="20"/>
      <c r="E808" s="20"/>
    </row>
    <row r="809">
      <c r="D809" s="20"/>
      <c r="E809" s="20"/>
    </row>
    <row r="810">
      <c r="D810" s="20"/>
      <c r="E810" s="20"/>
    </row>
    <row r="811">
      <c r="D811" s="20"/>
      <c r="E811" s="20"/>
    </row>
    <row r="812">
      <c r="D812" s="20"/>
      <c r="E812" s="20"/>
    </row>
    <row r="813">
      <c r="D813" s="20"/>
      <c r="E813" s="20"/>
    </row>
    <row r="814">
      <c r="D814" s="20"/>
      <c r="E814" s="20"/>
    </row>
    <row r="815">
      <c r="D815" s="20"/>
      <c r="E815" s="20"/>
    </row>
    <row r="816">
      <c r="D816" s="20"/>
      <c r="E816" s="20"/>
    </row>
    <row r="817">
      <c r="D817" s="20"/>
      <c r="E817" s="20"/>
    </row>
    <row r="818">
      <c r="D818" s="20"/>
      <c r="E818" s="20"/>
    </row>
    <row r="819">
      <c r="D819" s="20"/>
      <c r="E819" s="20"/>
    </row>
    <row r="820">
      <c r="D820" s="20"/>
      <c r="E820" s="20"/>
    </row>
    <row r="821">
      <c r="D821" s="20"/>
      <c r="E821" s="20"/>
    </row>
    <row r="822">
      <c r="D822" s="20"/>
      <c r="E822" s="20"/>
    </row>
    <row r="823">
      <c r="D823" s="20"/>
      <c r="E823" s="20"/>
    </row>
    <row r="824">
      <c r="D824" s="20"/>
      <c r="E824" s="20"/>
    </row>
    <row r="825">
      <c r="D825" s="20"/>
      <c r="E825" s="20"/>
    </row>
    <row r="826">
      <c r="D826" s="20"/>
      <c r="E826" s="20"/>
    </row>
    <row r="827">
      <c r="D827" s="20"/>
      <c r="E827" s="20"/>
    </row>
    <row r="828">
      <c r="D828" s="20"/>
      <c r="E828" s="20"/>
    </row>
    <row r="829">
      <c r="D829" s="20"/>
      <c r="E829" s="20"/>
    </row>
    <row r="830">
      <c r="D830" s="20"/>
      <c r="E830" s="20"/>
    </row>
    <row r="831">
      <c r="D831" s="20"/>
      <c r="E831" s="20"/>
    </row>
    <row r="832">
      <c r="D832" s="20"/>
      <c r="E832" s="20"/>
    </row>
    <row r="833">
      <c r="D833" s="20"/>
      <c r="E833" s="20"/>
    </row>
    <row r="834">
      <c r="D834" s="20"/>
      <c r="E834" s="20"/>
    </row>
    <row r="835">
      <c r="D835" s="20"/>
      <c r="E835" s="20"/>
    </row>
    <row r="836">
      <c r="D836" s="20"/>
      <c r="E836" s="20"/>
    </row>
    <row r="837">
      <c r="D837" s="20"/>
      <c r="E837" s="20"/>
    </row>
    <row r="838">
      <c r="D838" s="20"/>
      <c r="E838" s="20"/>
    </row>
    <row r="839">
      <c r="D839" s="20"/>
      <c r="E839" s="20"/>
    </row>
    <row r="840">
      <c r="D840" s="20"/>
      <c r="E840" s="20"/>
    </row>
    <row r="841">
      <c r="D841" s="20"/>
      <c r="E841" s="20"/>
    </row>
    <row r="842">
      <c r="D842" s="20"/>
      <c r="E842" s="20"/>
    </row>
    <row r="843">
      <c r="D843" s="20"/>
      <c r="E843" s="20"/>
    </row>
    <row r="844">
      <c r="D844" s="20"/>
      <c r="E844" s="20"/>
    </row>
    <row r="845">
      <c r="D845" s="20"/>
      <c r="E845" s="20"/>
    </row>
    <row r="846">
      <c r="D846" s="20"/>
      <c r="E846" s="20"/>
    </row>
    <row r="847">
      <c r="D847" s="20"/>
      <c r="E847" s="20"/>
    </row>
    <row r="848">
      <c r="D848" s="20"/>
      <c r="E848" s="20"/>
    </row>
    <row r="849">
      <c r="D849" s="20"/>
      <c r="E849" s="20"/>
    </row>
    <row r="850">
      <c r="D850" s="20"/>
      <c r="E850" s="20"/>
    </row>
    <row r="851">
      <c r="D851" s="20"/>
      <c r="E851" s="20"/>
    </row>
    <row r="852">
      <c r="D852" s="20"/>
      <c r="E852" s="20"/>
    </row>
    <row r="853">
      <c r="D853" s="20"/>
      <c r="E853" s="20"/>
    </row>
    <row r="854">
      <c r="D854" s="20"/>
      <c r="E854" s="20"/>
    </row>
    <row r="855">
      <c r="D855" s="20"/>
      <c r="E855" s="20"/>
    </row>
    <row r="856">
      <c r="D856" s="20"/>
      <c r="E856" s="20"/>
    </row>
    <row r="857">
      <c r="D857" s="20"/>
      <c r="E857" s="20"/>
    </row>
    <row r="858">
      <c r="D858" s="20"/>
      <c r="E858" s="20"/>
    </row>
    <row r="859">
      <c r="D859" s="20"/>
      <c r="E859" s="20"/>
    </row>
    <row r="860">
      <c r="D860" s="20"/>
      <c r="E860" s="20"/>
    </row>
    <row r="861">
      <c r="D861" s="20"/>
      <c r="E861" s="20"/>
    </row>
    <row r="862">
      <c r="D862" s="20"/>
      <c r="E862" s="20"/>
    </row>
    <row r="863">
      <c r="D863" s="20"/>
      <c r="E863" s="20"/>
    </row>
    <row r="864">
      <c r="D864" s="20"/>
      <c r="E864" s="20"/>
    </row>
    <row r="865">
      <c r="D865" s="20"/>
      <c r="E865" s="20"/>
    </row>
    <row r="866">
      <c r="D866" s="20"/>
      <c r="E866" s="20"/>
    </row>
    <row r="867">
      <c r="D867" s="20"/>
      <c r="E867" s="20"/>
    </row>
    <row r="868">
      <c r="D868" s="20"/>
      <c r="E868" s="20"/>
    </row>
    <row r="869">
      <c r="D869" s="20"/>
      <c r="E869" s="20"/>
    </row>
    <row r="870">
      <c r="D870" s="20"/>
      <c r="E870" s="20"/>
    </row>
    <row r="871">
      <c r="D871" s="20"/>
      <c r="E871" s="20"/>
    </row>
    <row r="872">
      <c r="D872" s="20"/>
      <c r="E872" s="20"/>
    </row>
    <row r="873">
      <c r="D873" s="20"/>
      <c r="E873" s="20"/>
    </row>
    <row r="874">
      <c r="D874" s="20"/>
      <c r="E874" s="20"/>
    </row>
    <row r="875">
      <c r="D875" s="20"/>
      <c r="E875" s="20"/>
    </row>
    <row r="876">
      <c r="D876" s="20"/>
      <c r="E876" s="20"/>
    </row>
    <row r="877">
      <c r="D877" s="20"/>
      <c r="E877" s="20"/>
    </row>
    <row r="878">
      <c r="D878" s="20"/>
      <c r="E878" s="20"/>
    </row>
    <row r="879">
      <c r="D879" s="20"/>
      <c r="E879" s="20"/>
    </row>
    <row r="880">
      <c r="D880" s="20"/>
      <c r="E880" s="20"/>
    </row>
    <row r="881">
      <c r="D881" s="20"/>
      <c r="E881" s="20"/>
    </row>
    <row r="882">
      <c r="D882" s="20"/>
      <c r="E882" s="20"/>
    </row>
    <row r="883">
      <c r="D883" s="20"/>
      <c r="E883" s="20"/>
    </row>
    <row r="884">
      <c r="D884" s="20"/>
      <c r="E884" s="20"/>
    </row>
    <row r="885">
      <c r="D885" s="20"/>
      <c r="E885" s="20"/>
    </row>
    <row r="886">
      <c r="D886" s="20"/>
      <c r="E886" s="20"/>
    </row>
    <row r="887">
      <c r="D887" s="20"/>
      <c r="E887" s="20"/>
    </row>
    <row r="888">
      <c r="D888" s="20"/>
      <c r="E888" s="20"/>
    </row>
    <row r="889">
      <c r="D889" s="20"/>
      <c r="E889" s="20"/>
    </row>
    <row r="890">
      <c r="D890" s="20"/>
      <c r="E890" s="20"/>
    </row>
    <row r="891">
      <c r="D891" s="20"/>
      <c r="E891" s="20"/>
    </row>
    <row r="892">
      <c r="D892" s="20"/>
      <c r="E892" s="20"/>
    </row>
    <row r="893">
      <c r="D893" s="20"/>
      <c r="E893" s="20"/>
    </row>
    <row r="894">
      <c r="D894" s="20"/>
      <c r="E894" s="20"/>
    </row>
    <row r="895">
      <c r="D895" s="20"/>
      <c r="E895" s="20"/>
    </row>
    <row r="896">
      <c r="D896" s="20"/>
      <c r="E896" s="20"/>
    </row>
    <row r="897">
      <c r="D897" s="20"/>
      <c r="E897" s="20"/>
    </row>
    <row r="898">
      <c r="D898" s="20"/>
      <c r="E898" s="20"/>
    </row>
    <row r="899">
      <c r="D899" s="20"/>
      <c r="E899" s="20"/>
    </row>
    <row r="900">
      <c r="D900" s="20"/>
      <c r="E900" s="20"/>
    </row>
    <row r="901">
      <c r="D901" s="20"/>
      <c r="E901" s="20"/>
    </row>
    <row r="902">
      <c r="D902" s="20"/>
      <c r="E902" s="20"/>
    </row>
    <row r="903">
      <c r="D903" s="20"/>
      <c r="E903" s="20"/>
    </row>
    <row r="904">
      <c r="D904" s="20"/>
      <c r="E904" s="20"/>
    </row>
    <row r="905">
      <c r="D905" s="20"/>
      <c r="E905" s="20"/>
    </row>
    <row r="906">
      <c r="D906" s="20"/>
      <c r="E906" s="20"/>
    </row>
    <row r="907">
      <c r="D907" s="20"/>
      <c r="E907" s="20"/>
    </row>
    <row r="908">
      <c r="D908" s="20"/>
      <c r="E908" s="20"/>
    </row>
    <row r="909">
      <c r="D909" s="20"/>
      <c r="E909" s="20"/>
    </row>
    <row r="910">
      <c r="D910" s="20"/>
      <c r="E910" s="20"/>
    </row>
    <row r="911">
      <c r="D911" s="20"/>
      <c r="E911" s="20"/>
    </row>
    <row r="912">
      <c r="D912" s="20"/>
      <c r="E912" s="20"/>
    </row>
    <row r="913">
      <c r="D913" s="20"/>
      <c r="E913" s="20"/>
    </row>
    <row r="914">
      <c r="D914" s="20"/>
      <c r="E914" s="20"/>
    </row>
    <row r="915">
      <c r="D915" s="20"/>
      <c r="E915" s="20"/>
    </row>
    <row r="916">
      <c r="D916" s="20"/>
      <c r="E916" s="20"/>
    </row>
    <row r="917">
      <c r="D917" s="20"/>
      <c r="E917" s="20"/>
    </row>
    <row r="918">
      <c r="D918" s="20"/>
      <c r="E918" s="20"/>
    </row>
    <row r="919">
      <c r="D919" s="20"/>
      <c r="E919" s="20"/>
    </row>
    <row r="920">
      <c r="D920" s="20"/>
      <c r="E920" s="20"/>
    </row>
    <row r="921">
      <c r="D921" s="20"/>
      <c r="E921" s="20"/>
    </row>
    <row r="922">
      <c r="D922" s="20"/>
      <c r="E922" s="20"/>
    </row>
    <row r="923">
      <c r="D923" s="20"/>
      <c r="E923" s="20"/>
    </row>
    <row r="924">
      <c r="D924" s="20"/>
      <c r="E924" s="20"/>
    </row>
    <row r="925">
      <c r="D925" s="20"/>
      <c r="E925" s="20"/>
    </row>
    <row r="926">
      <c r="D926" s="20"/>
      <c r="E926" s="20"/>
    </row>
    <row r="927">
      <c r="D927" s="20"/>
      <c r="E927" s="20"/>
    </row>
    <row r="928">
      <c r="D928" s="20"/>
      <c r="E928" s="20"/>
    </row>
    <row r="929">
      <c r="D929" s="20"/>
      <c r="E929" s="20"/>
    </row>
    <row r="930">
      <c r="D930" s="20"/>
      <c r="E930" s="20"/>
    </row>
    <row r="931">
      <c r="D931" s="20"/>
      <c r="E931" s="20"/>
    </row>
    <row r="932">
      <c r="D932" s="20"/>
      <c r="E932" s="20"/>
    </row>
    <row r="933">
      <c r="D933" s="20"/>
      <c r="E933" s="20"/>
    </row>
    <row r="934">
      <c r="D934" s="20"/>
      <c r="E934" s="20"/>
    </row>
    <row r="935">
      <c r="D935" s="20"/>
      <c r="E935" s="20"/>
    </row>
    <row r="936">
      <c r="D936" s="20"/>
      <c r="E936" s="20"/>
    </row>
    <row r="937">
      <c r="D937" s="20"/>
      <c r="E937" s="20"/>
    </row>
    <row r="938">
      <c r="D938" s="20"/>
      <c r="E938" s="20"/>
    </row>
    <row r="939">
      <c r="D939" s="20"/>
      <c r="E939" s="20"/>
    </row>
    <row r="940">
      <c r="D940" s="20"/>
      <c r="E940" s="20"/>
    </row>
    <row r="941">
      <c r="D941" s="20"/>
      <c r="E941" s="20"/>
    </row>
    <row r="942">
      <c r="D942" s="20"/>
      <c r="E942" s="20"/>
    </row>
    <row r="943">
      <c r="D943" s="20"/>
      <c r="E943" s="20"/>
    </row>
    <row r="944">
      <c r="D944" s="20"/>
      <c r="E944" s="20"/>
    </row>
    <row r="945">
      <c r="D945" s="20"/>
      <c r="E945" s="20"/>
    </row>
    <row r="946">
      <c r="D946" s="20"/>
      <c r="E946" s="20"/>
    </row>
    <row r="947">
      <c r="D947" s="20"/>
      <c r="E947" s="20"/>
    </row>
    <row r="948">
      <c r="D948" s="20"/>
      <c r="E948" s="20"/>
    </row>
    <row r="949">
      <c r="D949" s="20"/>
      <c r="E949" s="20"/>
    </row>
    <row r="950">
      <c r="D950" s="20"/>
      <c r="E950" s="20"/>
    </row>
    <row r="951">
      <c r="D951" s="20"/>
      <c r="E951" s="20"/>
    </row>
    <row r="952">
      <c r="D952" s="20"/>
      <c r="E952" s="20"/>
    </row>
    <row r="953">
      <c r="D953" s="20"/>
      <c r="E953" s="20"/>
    </row>
    <row r="954">
      <c r="D954" s="20"/>
      <c r="E954" s="20"/>
    </row>
    <row r="955">
      <c r="D955" s="20"/>
      <c r="E955" s="20"/>
    </row>
    <row r="956">
      <c r="D956" s="20"/>
      <c r="E956" s="20"/>
    </row>
    <row r="957">
      <c r="D957" s="20"/>
      <c r="E957" s="20"/>
    </row>
    <row r="958">
      <c r="D958" s="20"/>
      <c r="E958" s="20"/>
    </row>
    <row r="959">
      <c r="D959" s="20"/>
      <c r="E959" s="20"/>
    </row>
    <row r="960">
      <c r="D960" s="20"/>
      <c r="E960" s="20"/>
    </row>
    <row r="961">
      <c r="D961" s="20"/>
      <c r="E961" s="20"/>
    </row>
    <row r="962">
      <c r="D962" s="20"/>
      <c r="E962" s="20"/>
    </row>
    <row r="963">
      <c r="D963" s="20"/>
      <c r="E963" s="20"/>
    </row>
    <row r="964">
      <c r="D964" s="20"/>
      <c r="E964" s="20"/>
    </row>
    <row r="965">
      <c r="D965" s="20"/>
      <c r="E965" s="20"/>
    </row>
    <row r="966">
      <c r="D966" s="20"/>
      <c r="E966" s="20"/>
    </row>
    <row r="967">
      <c r="D967" s="20"/>
      <c r="E967" s="20"/>
    </row>
    <row r="968">
      <c r="D968" s="20"/>
      <c r="E968" s="20"/>
    </row>
    <row r="969">
      <c r="D969" s="20"/>
      <c r="E969" s="20"/>
    </row>
    <row r="970">
      <c r="D970" s="20"/>
      <c r="E970" s="20"/>
    </row>
    <row r="971">
      <c r="D971" s="20"/>
      <c r="E971" s="20"/>
    </row>
    <row r="972">
      <c r="D972" s="20"/>
      <c r="E972" s="20"/>
    </row>
    <row r="973">
      <c r="D973" s="20"/>
      <c r="E973" s="20"/>
    </row>
    <row r="974">
      <c r="D974" s="20"/>
      <c r="E974" s="20"/>
    </row>
    <row r="975">
      <c r="D975" s="20"/>
      <c r="E975" s="20"/>
    </row>
    <row r="976">
      <c r="D976" s="20"/>
      <c r="E976" s="20"/>
    </row>
    <row r="977">
      <c r="D977" s="20"/>
      <c r="E977" s="20"/>
    </row>
    <row r="978">
      <c r="D978" s="20"/>
      <c r="E978" s="20"/>
    </row>
    <row r="979">
      <c r="D979" s="20"/>
      <c r="E979" s="20"/>
    </row>
    <row r="980">
      <c r="D980" s="20"/>
      <c r="E980" s="20"/>
    </row>
    <row r="981">
      <c r="D981" s="20"/>
      <c r="E981" s="20"/>
    </row>
    <row r="982">
      <c r="D982" s="20"/>
      <c r="E982" s="20"/>
    </row>
    <row r="983">
      <c r="D983" s="20"/>
      <c r="E983" s="20"/>
    </row>
    <row r="984">
      <c r="D984" s="20"/>
      <c r="E984" s="20"/>
    </row>
    <row r="985">
      <c r="D985" s="20"/>
      <c r="E985" s="20"/>
    </row>
    <row r="986">
      <c r="D986" s="20"/>
      <c r="E986" s="20"/>
    </row>
    <row r="987">
      <c r="D987" s="20"/>
      <c r="E987" s="20"/>
    </row>
    <row r="988">
      <c r="D988" s="20"/>
      <c r="E988" s="20"/>
    </row>
  </sheetData>
  <mergeCells count="5">
    <mergeCell ref="F1:J1"/>
    <mergeCell ref="R1:W1"/>
    <mergeCell ref="X1:AA1"/>
    <mergeCell ref="AR1:AS1"/>
    <mergeCell ref="AT1:AX1"/>
  </mergeCells>
  <dataValidations>
    <dataValidation type="list" allowBlank="1" showErrorMessage="1" sqref="X3:X34">
      <formula1>"Russian,Ukrainian,English,Other,Unsure"</formula1>
    </dataValidation>
    <dataValidation type="list" allowBlank="1" showErrorMessage="1" sqref="AK3:AK34">
      <formula1>"Food,Water,Medicine,Gun"</formula1>
    </dataValidation>
    <dataValidation type="list" allowBlank="1" showErrorMessage="1" sqref="G3:G34">
      <formula1>"Discrediting,Emotion,Polarization,Impersonation,Conspiracy,Trolling,Power projection"</formula1>
    </dataValidation>
    <dataValidation type="list" allowBlank="1" showErrorMessage="1" sqref="AN3:AN34">
      <formula1>"Battle field/area (tanks, etc),Inside a building ,Destroyed building/structure,Train station,Sky,Outside - city (including skyline),None of these/other"</formula1>
    </dataValidation>
    <dataValidation type="list" allowBlank="1" showErrorMessage="1" sqref="AE3:AE34">
      <formula1>"Text and image aligned,Text and image unaligned,Text reframes/challenges image,Image reframes/challenges text,The text is spammy,The image is spammy,Other thing"</formula1>
    </dataValidation>
    <dataValidation type="list" allowBlank="1" showErrorMessage="1" sqref="V3:V34">
      <formula1>"Printed Paperwork,Printed Notice,Hand Drawing"</formula1>
    </dataValidation>
    <dataValidation type="list" allowBlank="1" showErrorMessage="1" sqref="Z3:Z34">
      <formula1>"Ukrainian Gvt,Russian Gvt,Law enforceement,People's republics,Aid orgs/NGOs,Press/media company,Influencer/individual logo,Other logo"</formula1>
    </dataValidation>
    <dataValidation type="list" allowBlank="1" showErrorMessage="1" sqref="AR3:AR34">
      <formula1>"Donate,Call a number,Go to a place for support/resources,Perform a state sanctioned action,Share/forward the image ,Go to an event ,Other mobilization behavior "</formula1>
    </dataValidation>
    <dataValidation type="list" allowBlank="1" showErrorMessage="1" sqref="AB3:AB34">
      <formula1>"Text and image aligned,Text and image unaligned,Text reframes/challenges image,Image reframes/challenges text,The text is spammy,The image is spammy,Other thing,No text in image"</formula1>
    </dataValidation>
    <dataValidation type="list" allowBlank="1" showErrorMessage="1" sqref="AM3:AM34">
      <formula1>"Ukrainian,Russian,Other"</formula1>
    </dataValidation>
    <dataValidation type="list" allowBlank="1" showErrorMessage="1" sqref="AL3:AL34">
      <formula1>"Drone,Cloud trail,Plane,Missile,Rocket,Other"</formula1>
    </dataValidation>
    <dataValidation type="list" allowBlank="1" showErrorMessage="1" sqref="AT3:AT34">
      <formula1>"Ukraine,Russia,DNR,LNR,Local/regional,Other/unknown"</formula1>
    </dataValidation>
    <dataValidation type="list" allowBlank="1" showErrorMessage="1" sqref="L4:L13 L15:L28 L30:L34">
      <formula1>"Humor,Russian infrastructure/normalization,English language ,Ukrainian colors in public places,Russian colors in public places,Destruction of monuments/key buildings,Happy children,Pro-Ukrainian support from another nation (or animal),Other thing ,Victimi"&amp;"zation,Historical association,Destruction in general"</formula1>
    </dataValidation>
    <dataValidation type="list" allowBlank="1" showErrorMessage="1" sqref="T3:T34">
      <formula1>"Ukraine ,Russia,Multiple countries,Multiple maps,Military map,Air raid map,Other map"</formula1>
    </dataValidation>
    <dataValidation type="list" allowBlank="1" showErrorMessage="1" sqref="AI3:AI34">
      <formula1>"Cat,Dog,Other"</formula1>
    </dataValidation>
    <dataValidation type="list" allowBlank="1" showErrorMessage="1" sqref="I3:I34">
      <formula1>"Implicit,Explicit,No stance,Unsure"</formula1>
    </dataValidation>
    <dataValidation type="list" allowBlank="1" showErrorMessage="1" sqref="K3:K34">
      <formula1>"Lots of context - hard to reframee,A little bit of context - harder to reframe if you know,No context - easy to reframe in a post"</formula1>
    </dataValidation>
    <dataValidation type="list" allowBlank="1" showErrorMessage="1" sqref="AV3:AV34">
      <formula1>"Russian,Ukrainian,Other"</formula1>
    </dataValidation>
    <dataValidation type="list" allowBlank="1" showErrorMessage="1" sqref="M3:O34">
      <formula1>"Russian in group (by Russians for Russians),Ukrainian in group (by Ukrainians, for Ukrainians),Russian out group (by Ukrainians or others, outgrouping Russians),Ukrainian out group (by Russians or others, outgrouping Ukrainians),None,Unsure"</formula1>
    </dataValidation>
    <dataValidation type="list" allowBlank="1" showErrorMessage="1" sqref="AF3:AF34">
      <formula1>"Clarifying the image,Describing the image,Challenging the image,Stressing/emphasizing the image,Reacting to the image,Other interesting thing,Contextualizing the Image"</formula1>
    </dataValidation>
    <dataValidation type="list" allowBlank="1" showErrorMessage="1" sqref="AD3 AD14 AD29">
      <formula1>"Name/Handle,Stock imagery,Other watermark,Russian"</formula1>
    </dataValidation>
    <dataValidation type="list" allowBlank="1" showErrorMessage="1" sqref="H3:H34">
      <formula1>"Pro-Russia,Pro-Ukrainian,No stance,Unsure"</formula1>
    </dataValidation>
    <dataValidation type="list" allowBlank="1" showErrorMessage="1" sqref="AU3:AU34">
      <formula1>"Ukrainian,Russian,EU,USA,Local/regional,DNR,LNR,Other/unknown"</formula1>
    </dataValidation>
    <dataValidation type="list" allowBlank="1" showErrorMessage="1" sqref="AO3:AO34">
      <formula1>"Active conflict,Result of conflict "</formula1>
    </dataValidation>
    <dataValidation type="list" allowBlank="1" showErrorMessage="1" sqref="U3:U34">
      <formula1>"Computer,Phone,TV,Unknown/unclear,Military footage screen ,Other,Unknown"</formula1>
    </dataValidation>
    <dataValidation type="list" allowBlank="1" showErrorMessage="1" sqref="AQ3:AQ34">
      <formula1>"Public speech,Press conference,newscast,Politician with miltiary,Gvt meeting/forum,Miltiary posing for photo,Arrest,Protest"</formula1>
    </dataValidation>
    <dataValidation type="list" allowBlank="1" showErrorMessage="1" sqref="AG3:AG34">
      <formula1>"Russian Military,Ukrainian Military,Soviet Military Figure"</formula1>
    </dataValidation>
    <dataValidation type="list" allowBlank="1" showErrorMessage="1" sqref="AH3:AH34">
      <formula1>"Zelensky,Putin,Biden,Turmp,Poroshenko,Xi Jinping,Other"</formula1>
    </dataValidation>
    <dataValidation type="list" allowBlank="1" showErrorMessage="1" sqref="P3:P34">
      <formula1>"Yes - hostility to Russian outgroup,Yes - hostility to Ukrainian outgroup,Yes - hostility to another outgroup,None,Unsure"</formula1>
    </dataValidation>
    <dataValidation type="list" allowBlank="1" showErrorMessage="1" sqref="J3:J34">
      <formula1>"Text and image aligned,Text reframes image,Image reframes text,None,Unsure"</formula1>
    </dataValidation>
    <dataValidation type="list" allowBlank="1" showErrorMessage="1" sqref="AJ3:AJ34">
      <formula1>"Military,Tank,Police,Firetruck,Civilian,Emergency,Other"</formula1>
    </dataValidation>
    <dataValidation type="list" allowBlank="1" showErrorMessage="1" sqref="R3:R34">
      <formula1>"Meme,Data visualization,Infographic,Digital flyers,""cover image"" - image for text,Map,Picture of a screen,Picture of paper,Screenshot,News article,Photograph,Illustration - realistic,Illustration - cartoon/comic,AI-genreated image,Collage of multiple im"&amp;"ages,Other"</formula1>
    </dataValidation>
    <dataValidation type="list" allowBlank="1" showErrorMessage="1" sqref="L3 L14 L29">
      <formula1>"Humor,Russian infrastructure/normalization,English language ,Ukrainian colors in public places,Russian colors in public places,Destruction of monuments/key buildings,Happy children/women,Prisoners of war,Pro-Ukrainian support from another nation (or anima"&amp;"l),Other thing ,Women/Children Participation,Elderly Participation"</formula1>
    </dataValidation>
    <dataValidation type="list" allowBlank="1" showErrorMessage="1" sqref="AC3:AC34">
      <formula1>"Mixed,Russian,Ukrainian,English,Other"</formula1>
    </dataValidation>
    <dataValidation type="list" allowBlank="1" showErrorMessage="1" sqref="AD4:AD13 AD15:AD28 AA3:AA34 AD30:AD34">
      <formula1>"Name/Handle,Stock imagery,Other watermark,Ukranian"</formula1>
    </dataValidation>
    <dataValidation type="list" allowBlank="1" showErrorMessage="1" sqref="AS3:AS34">
      <formula1>"Psychological resource (ie crisis line),Motivational quote,Aid resource,Prayer,Other affective thing"</formula1>
    </dataValidation>
    <dataValidation type="list" allowBlank="1" showErrorMessage="1" sqref="AP3:AP34">
      <formula1>"Medical relief,Food relief/passout,Aid workers helping - general"</formula1>
    </dataValidation>
    <dataValidation type="list" allowBlank="1" showErrorMessage="1" sqref="Y3:Y34">
      <formula1>"Emojis added to cover faces,FAKE or other debunking text/image warning,Textual annotations (text added over an image),Graphical annotations (shapes, arrows to draw attention),Faces blurred,Blood/injuries blurred,Other blurring,Appears to have been cropped"&amp;",Other editting,likely AI generated"</formula1>
    </dataValidation>
    <dataValidation type="list" allowBlank="1" showErrorMessage="1" sqref="AW3:AW34">
      <formula1>"Ribbon of Saint George,USSR signs - hammer, stars, etc ,V, Z - war symbols,Rubles,Maps of Ukraine without Crimea and the occupied territories,Famous Russain culture figure,Balalaika,Russian bear ,Other "</formula1>
    </dataValidation>
    <dataValidation type="list" allowBlank="1" showErrorMessage="1" sqref="F3:F34">
      <formula1>"Lifestyle content - outfits, cooking, etc,Misc meme,Misc landscape (building, nature) image,Misc motivation post,Advertisement,Sports,Slop/Spam,Construction,Porn/sexual imagery"</formula1>
    </dataValidation>
    <dataValidation type="list" allowBlank="1" showErrorMessage="1" sqref="Q3:Q34">
      <formula1>"Yes - Solidarity to Ukrainian in group,Yes - Solidarity to Russian ingroup,Yes - Solidarity to a different in group,No,Unsure"</formula1>
    </dataValidation>
    <dataValidation type="list" allowBlank="1" showErrorMessage="1" sqref="AX3:AY34">
      <formula1>"Trident,letter ""i"",Variations of Russian warship,Sunflower,Sunflower seeds,Borscht,Vyshyvanka,Watermelons,Wheat,Varenyky,Other"</formula1>
    </dataValidation>
    <dataValidation type="list" allowBlank="1" showErrorMessage="1" sqref="S3:S34">
      <formula1>"Bar chart,Line chart,Scatter plot,Circle/donut/pie chart,Other chart type"</formula1>
    </dataValidation>
    <dataValidation type="list" allowBlank="1" showErrorMessage="1" sqref="W3:W34">
      <formula1>"Search engine result,LLM Output,News website,Government website,Social media - FB ,Social media - X,Social media - TikTok,Socila media - YT ,Social media - Whatsapp ,Social media - Telegram,Social media - Other/Unknown"</formula1>
    </dataValidation>
  </dataValidation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s>
  <drawing r:id="rId33"/>
</worksheet>
</file>